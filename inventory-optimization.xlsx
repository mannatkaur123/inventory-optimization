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manna\Downloads\"/>
    </mc:Choice>
  </mc:AlternateContent>
  <xr:revisionPtr revIDLastSave="0" documentId="8_{7620C234-8DA2-4025-AECD-A588A84E9F48}" xr6:coauthVersionLast="47" xr6:coauthVersionMax="47" xr10:uidLastSave="{00000000-0000-0000-0000-000000000000}"/>
  <bookViews>
    <workbookView xWindow="-120" yWindow="-120" windowWidth="29040" windowHeight="15720" activeTab="2" xr2:uid="{6D2E62C2-3AB5-45C6-B9EA-177725A8F96E}"/>
  </bookViews>
  <sheets>
    <sheet name="Inputs" sheetId="1" r:id="rId1"/>
    <sheet name="Demand_MA" sheetId="2" r:id="rId2"/>
    <sheet name="Demand_SES" sheetId="4" r:id="rId3"/>
    <sheet name="Demand_DES" sheetId="5" r:id="rId4"/>
    <sheet name="Demand_TES" sheetId="6" r:id="rId5"/>
    <sheet name="Scenario Analysis" sheetId="3" r:id="rId6"/>
  </sheets>
  <definedNames>
    <definedName name="solver_adj" localSheetId="3" hidden="1">Demand_DES!$J$4:$J$5</definedName>
    <definedName name="solver_adj" localSheetId="2" hidden="1">Demand_SES!$I$4</definedName>
    <definedName name="solver_adj" localSheetId="4" hidden="1">Demand_TES!$K$4:$K$6</definedName>
    <definedName name="solver_cvg" localSheetId="3" hidden="1">0.0001</definedName>
    <definedName name="solver_cvg" localSheetId="2" hidden="1">0.0001</definedName>
    <definedName name="solver_cvg" localSheetId="4" hidden="1">0.0001</definedName>
    <definedName name="solver_drv" localSheetId="3" hidden="1">1</definedName>
    <definedName name="solver_drv" localSheetId="2" hidden="1">1</definedName>
    <definedName name="solver_drv" localSheetId="4" hidden="1">1</definedName>
    <definedName name="solver_eng" localSheetId="3" hidden="1">1</definedName>
    <definedName name="solver_eng" localSheetId="2" hidden="1">1</definedName>
    <definedName name="solver_eng" localSheetId="4" hidden="1">1</definedName>
    <definedName name="solver_est" localSheetId="3" hidden="1">1</definedName>
    <definedName name="solver_est" localSheetId="2" hidden="1">1</definedName>
    <definedName name="solver_est" localSheetId="4" hidden="1">1</definedName>
    <definedName name="solver_itr" localSheetId="3" hidden="1">2147483647</definedName>
    <definedName name="solver_itr" localSheetId="2" hidden="1">2147483647</definedName>
    <definedName name="solver_itr" localSheetId="4" hidden="1">2147483647</definedName>
    <definedName name="solver_lhs1" localSheetId="3" hidden="1">Demand_DES!$J$4:$J$5</definedName>
    <definedName name="solver_lhs1" localSheetId="2" hidden="1">Demand_SES!$I$4</definedName>
    <definedName name="solver_lhs1" localSheetId="4" hidden="1">Demand_TES!$K$4:$K$6</definedName>
    <definedName name="solver_lhs2" localSheetId="3" hidden="1">Demand_DES!$J$4:$J$5</definedName>
    <definedName name="solver_lhs2" localSheetId="2" hidden="1">Demand_SES!$I$4</definedName>
    <definedName name="solver_lhs2" localSheetId="4" hidden="1">Demand_TES!$K$4:$K$6</definedName>
    <definedName name="solver_mip" localSheetId="3" hidden="1">2147483647</definedName>
    <definedName name="solver_mip" localSheetId="2" hidden="1">2147483647</definedName>
    <definedName name="solver_mip" localSheetId="4" hidden="1">2147483647</definedName>
    <definedName name="solver_mni" localSheetId="3" hidden="1">30</definedName>
    <definedName name="solver_mni" localSheetId="2" hidden="1">30</definedName>
    <definedName name="solver_mni" localSheetId="4" hidden="1">30</definedName>
    <definedName name="solver_mrt" localSheetId="3" hidden="1">0.075</definedName>
    <definedName name="solver_mrt" localSheetId="2" hidden="1">0.075</definedName>
    <definedName name="solver_mrt" localSheetId="4" hidden="1">0.075</definedName>
    <definedName name="solver_msl" localSheetId="3" hidden="1">2</definedName>
    <definedName name="solver_msl" localSheetId="2" hidden="1">2</definedName>
    <definedName name="solver_msl" localSheetId="4" hidden="1">2</definedName>
    <definedName name="solver_neg" localSheetId="3" hidden="1">2</definedName>
    <definedName name="solver_neg" localSheetId="2" hidden="1">1</definedName>
    <definedName name="solver_neg" localSheetId="4" hidden="1">1</definedName>
    <definedName name="solver_nod" localSheetId="3" hidden="1">2147483647</definedName>
    <definedName name="solver_nod" localSheetId="2" hidden="1">2147483647</definedName>
    <definedName name="solver_nod" localSheetId="4" hidden="1">2147483647</definedName>
    <definedName name="solver_num" localSheetId="3" hidden="1">2</definedName>
    <definedName name="solver_num" localSheetId="2" hidden="1">2</definedName>
    <definedName name="solver_num" localSheetId="4" hidden="1">2</definedName>
    <definedName name="solver_nwt" localSheetId="3" hidden="1">1</definedName>
    <definedName name="solver_nwt" localSheetId="2" hidden="1">1</definedName>
    <definedName name="solver_nwt" localSheetId="4" hidden="1">1</definedName>
    <definedName name="solver_opt" localSheetId="3" hidden="1">Demand_DES!$J$6</definedName>
    <definedName name="solver_opt" localSheetId="2" hidden="1">Demand_SES!$I$8</definedName>
    <definedName name="solver_opt" localSheetId="4" hidden="1">Demand_TES!$K$7</definedName>
    <definedName name="solver_pre" localSheetId="3" hidden="1">0.000001</definedName>
    <definedName name="solver_pre" localSheetId="2" hidden="1">0.000001</definedName>
    <definedName name="solver_pre" localSheetId="4" hidden="1">0.000001</definedName>
    <definedName name="solver_rbv" localSheetId="3" hidden="1">1</definedName>
    <definedName name="solver_rbv" localSheetId="2" hidden="1">1</definedName>
    <definedName name="solver_rbv" localSheetId="4" hidden="1">1</definedName>
    <definedName name="solver_rel1" localSheetId="3" hidden="1">1</definedName>
    <definedName name="solver_rel1" localSheetId="2" hidden="1">1</definedName>
    <definedName name="solver_rel1" localSheetId="4" hidden="1">1</definedName>
    <definedName name="solver_rel2" localSheetId="3" hidden="1">3</definedName>
    <definedName name="solver_rel2" localSheetId="2" hidden="1">3</definedName>
    <definedName name="solver_rel2" localSheetId="4" hidden="1">3</definedName>
    <definedName name="solver_rhs1" localSheetId="3" hidden="1">0.95</definedName>
    <definedName name="solver_rhs1" localSheetId="2" hidden="1">0.95</definedName>
    <definedName name="solver_rhs1" localSheetId="4" hidden="1">0.99</definedName>
    <definedName name="solver_rhs2" localSheetId="3" hidden="1">0.05</definedName>
    <definedName name="solver_rhs2" localSheetId="2" hidden="1">0.05</definedName>
    <definedName name="solver_rhs2" localSheetId="4" hidden="1">0.01</definedName>
    <definedName name="solver_rlx" localSheetId="3" hidden="1">2</definedName>
    <definedName name="solver_rlx" localSheetId="2" hidden="1">2</definedName>
    <definedName name="solver_rlx" localSheetId="4" hidden="1">2</definedName>
    <definedName name="solver_rsd" localSheetId="3" hidden="1">0</definedName>
    <definedName name="solver_rsd" localSheetId="2" hidden="1">0</definedName>
    <definedName name="solver_rsd" localSheetId="4" hidden="1">0</definedName>
    <definedName name="solver_scl" localSheetId="3" hidden="1">1</definedName>
    <definedName name="solver_scl" localSheetId="2" hidden="1">1</definedName>
    <definedName name="solver_scl" localSheetId="4" hidden="1">1</definedName>
    <definedName name="solver_sho" localSheetId="3" hidden="1">2</definedName>
    <definedName name="solver_sho" localSheetId="2" hidden="1">2</definedName>
    <definedName name="solver_sho" localSheetId="4" hidden="1">2</definedName>
    <definedName name="solver_ssz" localSheetId="3" hidden="1">100</definedName>
    <definedName name="solver_ssz" localSheetId="2" hidden="1">100</definedName>
    <definedName name="solver_ssz" localSheetId="4" hidden="1">100</definedName>
    <definedName name="solver_tim" localSheetId="3" hidden="1">2147483647</definedName>
    <definedName name="solver_tim" localSheetId="2" hidden="1">2147483647</definedName>
    <definedName name="solver_tim" localSheetId="4" hidden="1">2147483647</definedName>
    <definedName name="solver_tol" localSheetId="3" hidden="1">0.0005</definedName>
    <definedName name="solver_tol" localSheetId="2" hidden="1">0.01</definedName>
    <definedName name="solver_tol" localSheetId="4" hidden="1">0.01</definedName>
    <definedName name="solver_typ" localSheetId="3" hidden="1">2</definedName>
    <definedName name="solver_typ" localSheetId="2" hidden="1">2</definedName>
    <definedName name="solver_typ" localSheetId="4" hidden="1">2</definedName>
    <definedName name="solver_val" localSheetId="3" hidden="1">0</definedName>
    <definedName name="solver_val" localSheetId="2" hidden="1">0</definedName>
    <definedName name="solver_val" localSheetId="4" hidden="1">0</definedName>
    <definedName name="solver_ver" localSheetId="3" hidden="1">3</definedName>
    <definedName name="solver_ver" localSheetId="2" hidden="1">3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6" l="1"/>
  <c r="H10" i="6"/>
  <c r="H6" i="6"/>
  <c r="H7" i="6"/>
  <c r="H8" i="6"/>
  <c r="H9" i="6"/>
  <c r="H5" i="6"/>
  <c r="E11" i="6"/>
  <c r="F11" i="6" s="1"/>
  <c r="E12" i="6" s="1"/>
  <c r="F10" i="6"/>
  <c r="E10" i="6"/>
  <c r="E7" i="5"/>
  <c r="F7" i="5" s="1"/>
  <c r="D8" i="5" s="1"/>
  <c r="F6" i="5"/>
  <c r="D7" i="5"/>
  <c r="E6" i="5"/>
  <c r="F5" i="3"/>
  <c r="F6" i="3"/>
  <c r="F7" i="3"/>
  <c r="F8" i="3"/>
  <c r="F9" i="3"/>
  <c r="F10" i="3"/>
  <c r="F11" i="3"/>
  <c r="F12" i="3"/>
  <c r="F13" i="3"/>
  <c r="F14" i="3"/>
  <c r="F15" i="3"/>
  <c r="F4" i="3"/>
  <c r="E5" i="3"/>
  <c r="E6" i="3"/>
  <c r="E7" i="3"/>
  <c r="E8" i="3"/>
  <c r="E9" i="3"/>
  <c r="E10" i="3"/>
  <c r="E11" i="3"/>
  <c r="E12" i="3"/>
  <c r="E13" i="3"/>
  <c r="E14" i="3"/>
  <c r="E15" i="3"/>
  <c r="E4" i="3"/>
  <c r="D5" i="3"/>
  <c r="D6" i="3"/>
  <c r="D7" i="3"/>
  <c r="D8" i="3"/>
  <c r="D9" i="3"/>
  <c r="D10" i="3"/>
  <c r="D11" i="3"/>
  <c r="D12" i="3"/>
  <c r="D13" i="3"/>
  <c r="D14" i="3"/>
  <c r="D15" i="3"/>
  <c r="D4" i="3"/>
  <c r="B25" i="1"/>
  <c r="B24" i="1"/>
  <c r="B23" i="1"/>
  <c r="B22" i="1"/>
  <c r="B21" i="1"/>
  <c r="B20" i="1"/>
  <c r="B19" i="1"/>
  <c r="B18" i="1"/>
  <c r="B17" i="1"/>
  <c r="B16" i="1"/>
  <c r="B15" i="1"/>
  <c r="B14" i="1"/>
  <c r="C6" i="4"/>
  <c r="C7" i="4" s="1"/>
  <c r="H5" i="2"/>
  <c r="C22" i="2"/>
  <c r="D22" i="2" s="1"/>
  <c r="E22" i="2" s="1"/>
  <c r="C9" i="2"/>
  <c r="D9" i="2" s="1"/>
  <c r="E9" i="2" s="1"/>
  <c r="C10" i="2"/>
  <c r="D10" i="2" s="1"/>
  <c r="E10" i="2" s="1"/>
  <c r="C11" i="2"/>
  <c r="D11" i="2" s="1"/>
  <c r="E11" i="2" s="1"/>
  <c r="C12" i="2"/>
  <c r="D12" i="2" s="1"/>
  <c r="E12" i="2" s="1"/>
  <c r="C13" i="2"/>
  <c r="D13" i="2" s="1"/>
  <c r="E13" i="2" s="1"/>
  <c r="C14" i="2"/>
  <c r="D14" i="2" s="1"/>
  <c r="E14" i="2" s="1"/>
  <c r="C15" i="2"/>
  <c r="D15" i="2" s="1"/>
  <c r="E15" i="2" s="1"/>
  <c r="C16" i="2"/>
  <c r="D16" i="2" s="1"/>
  <c r="E16" i="2" s="1"/>
  <c r="C17" i="2"/>
  <c r="D17" i="2" s="1"/>
  <c r="E17" i="2" s="1"/>
  <c r="C18" i="2"/>
  <c r="D18" i="2" s="1"/>
  <c r="E18" i="2" s="1"/>
  <c r="C19" i="2"/>
  <c r="D19" i="2" s="1"/>
  <c r="E19" i="2" s="1"/>
  <c r="C20" i="2"/>
  <c r="D20" i="2" s="1"/>
  <c r="E20" i="2" s="1"/>
  <c r="C21" i="2"/>
  <c r="D21" i="2" s="1"/>
  <c r="E21" i="2" s="1"/>
  <c r="C8" i="2"/>
  <c r="D8" i="2" s="1"/>
  <c r="E8" i="2" s="1"/>
  <c r="H11" i="6" l="1"/>
  <c r="H23" i="6" s="1"/>
  <c r="D12" i="6"/>
  <c r="F12" i="6"/>
  <c r="D13" i="6" s="1"/>
  <c r="H12" i="6"/>
  <c r="H24" i="6" s="1"/>
  <c r="D11" i="6"/>
  <c r="E8" i="5"/>
  <c r="F8" i="5" s="1"/>
  <c r="D7" i="4"/>
  <c r="C8" i="4"/>
  <c r="D6" i="4"/>
  <c r="E6" i="4" s="1"/>
  <c r="F6" i="4" s="1"/>
  <c r="H6" i="2"/>
  <c r="H7" i="2" s="1"/>
  <c r="E13" i="6" l="1"/>
  <c r="E7" i="4"/>
  <c r="C9" i="4"/>
  <c r="D8" i="4"/>
  <c r="E8" i="4" s="1"/>
  <c r="F8" i="4" s="1"/>
  <c r="F13" i="6" l="1"/>
  <c r="D14" i="6" s="1"/>
  <c r="H13" i="6"/>
  <c r="H25" i="6" s="1"/>
  <c r="F7" i="4"/>
  <c r="D9" i="4"/>
  <c r="E9" i="4" s="1"/>
  <c r="F9" i="4" s="1"/>
  <c r="C10" i="4"/>
  <c r="E14" i="6" l="1"/>
  <c r="F14" i="6" s="1"/>
  <c r="D10" i="4"/>
  <c r="E10" i="4" s="1"/>
  <c r="F10" i="4" s="1"/>
  <c r="C11" i="4"/>
  <c r="H14" i="6" l="1"/>
  <c r="H26" i="6" s="1"/>
  <c r="E15" i="6"/>
  <c r="F15" i="6" s="1"/>
  <c r="D16" i="6" s="1"/>
  <c r="D15" i="6"/>
  <c r="D11" i="4"/>
  <c r="E11" i="4" s="1"/>
  <c r="F11" i="4" s="1"/>
  <c r="C12" i="4"/>
  <c r="H15" i="6" l="1"/>
  <c r="H27" i="6" s="1"/>
  <c r="E16" i="6"/>
  <c r="D12" i="4"/>
  <c r="C13" i="4"/>
  <c r="F16" i="6" l="1"/>
  <c r="D17" i="6" s="1"/>
  <c r="H16" i="6"/>
  <c r="H28" i="6" s="1"/>
  <c r="E12" i="4"/>
  <c r="D13" i="4"/>
  <c r="E13" i="4" s="1"/>
  <c r="F13" i="4" s="1"/>
  <c r="C14" i="4"/>
  <c r="E17" i="6" l="1"/>
  <c r="F17" i="6" s="1"/>
  <c r="D18" i="6" s="1"/>
  <c r="F12" i="4"/>
  <c r="D14" i="4"/>
  <c r="E14" i="4" s="1"/>
  <c r="F14" i="4" s="1"/>
  <c r="C15" i="4"/>
  <c r="H17" i="6" l="1"/>
  <c r="H29" i="6" s="1"/>
  <c r="E18" i="6"/>
  <c r="F18" i="6" s="1"/>
  <c r="D15" i="4"/>
  <c r="E15" i="4" s="1"/>
  <c r="F15" i="4" s="1"/>
  <c r="C16" i="4"/>
  <c r="E19" i="6" l="1"/>
  <c r="H19" i="6" s="1"/>
  <c r="H31" i="6" s="1"/>
  <c r="D19" i="6"/>
  <c r="H18" i="6"/>
  <c r="H30" i="6" s="1"/>
  <c r="D16" i="4"/>
  <c r="E16" i="4" s="1"/>
  <c r="F16" i="4" s="1"/>
  <c r="C17" i="4"/>
  <c r="F19" i="6" l="1"/>
  <c r="E20" i="6" s="1"/>
  <c r="F20" i="6" s="1"/>
  <c r="D21" i="6" s="1"/>
  <c r="D17" i="4"/>
  <c r="E17" i="4" s="1"/>
  <c r="F17" i="4" s="1"/>
  <c r="C18" i="4"/>
  <c r="H20" i="6" l="1"/>
  <c r="H32" i="6" s="1"/>
  <c r="D20" i="6"/>
  <c r="E21" i="6"/>
  <c r="F21" i="6" s="1"/>
  <c r="D22" i="6" s="1"/>
  <c r="D18" i="4"/>
  <c r="E18" i="4" s="1"/>
  <c r="F18" i="4" s="1"/>
  <c r="C19" i="4"/>
  <c r="H21" i="6" l="1"/>
  <c r="H33" i="6" s="1"/>
  <c r="E22" i="6"/>
  <c r="D19" i="4"/>
  <c r="E19" i="4" s="1"/>
  <c r="F19" i="4" s="1"/>
  <c r="C20" i="4"/>
  <c r="F22" i="6" l="1"/>
  <c r="D24" i="6" s="1"/>
  <c r="H22" i="6"/>
  <c r="H34" i="6" s="1"/>
  <c r="D20" i="4"/>
  <c r="E20" i="4" s="1"/>
  <c r="F20" i="4" s="1"/>
  <c r="C21" i="4"/>
  <c r="D34" i="6" l="1"/>
  <c r="D29" i="6"/>
  <c r="D23" i="6"/>
  <c r="D26" i="6"/>
  <c r="D33" i="6"/>
  <c r="D28" i="6"/>
  <c r="D27" i="6"/>
  <c r="D32" i="6"/>
  <c r="D31" i="6"/>
  <c r="D30" i="6"/>
  <c r="D25" i="6"/>
  <c r="D21" i="4"/>
  <c r="E21" i="4" s="1"/>
  <c r="F21" i="4" s="1"/>
  <c r="C22" i="4"/>
  <c r="D22" i="4" s="1"/>
  <c r="E22" i="4" l="1"/>
  <c r="I7" i="4"/>
  <c r="I8" i="4" s="1"/>
  <c r="F22" i="4" l="1"/>
  <c r="I6" i="4" s="1"/>
  <c r="I5" i="4"/>
  <c r="D9" i="5"/>
  <c r="E9" i="5"/>
  <c r="F9" i="5" s="1"/>
  <c r="E10" i="5" l="1"/>
  <c r="F10" i="5" s="1"/>
  <c r="D10" i="5"/>
  <c r="D11" i="5" l="1"/>
  <c r="E11" i="5"/>
  <c r="F11" i="5" s="1"/>
  <c r="D12" i="5" s="1"/>
  <c r="E12" i="5" l="1"/>
  <c r="F12" i="5" s="1"/>
  <c r="E13" i="5" l="1"/>
  <c r="F13" i="5" s="1"/>
  <c r="E14" i="5" s="1"/>
  <c r="D13" i="5"/>
  <c r="D14" i="5" l="1"/>
  <c r="F14" i="5"/>
  <c r="D15" i="5" s="1"/>
  <c r="E15" i="5" l="1"/>
  <c r="F15" i="5" l="1"/>
  <c r="E16" i="5" s="1"/>
  <c r="D16" i="5" l="1"/>
  <c r="F16" i="5"/>
  <c r="D17" i="5" s="1"/>
  <c r="E17" i="5" l="1"/>
  <c r="F17" i="5" s="1"/>
  <c r="E18" i="5" l="1"/>
  <c r="F18" i="5" s="1"/>
  <c r="D19" i="5" s="1"/>
  <c r="D18" i="5"/>
  <c r="E19" i="5" l="1"/>
  <c r="F19" i="5" l="1"/>
  <c r="D20" i="5" s="1"/>
  <c r="E20" i="5" l="1"/>
  <c r="F20" i="5" l="1"/>
  <c r="E21" i="5" s="1"/>
  <c r="D21" i="5" l="1"/>
  <c r="F21" i="5"/>
  <c r="E22" i="5" s="1"/>
  <c r="F22" i="5" l="1"/>
  <c r="D25" i="5" s="1"/>
  <c r="D22" i="5"/>
  <c r="J6" i="5" s="1"/>
  <c r="D26" i="5" l="1"/>
  <c r="D24" i="5"/>
  <c r="D23" i="5"/>
  <c r="D28" i="5"/>
  <c r="D27" i="5"/>
</calcChain>
</file>

<file path=xl/sharedStrings.xml><?xml version="1.0" encoding="utf-8"?>
<sst xmlns="http://schemas.openxmlformats.org/spreadsheetml/2006/main" count="220" uniqueCount="117">
  <si>
    <t>Inputs and Inventory Calculations</t>
  </si>
  <si>
    <t>Input</t>
  </si>
  <si>
    <t>Value</t>
  </si>
  <si>
    <t>Item/SKU</t>
  </si>
  <si>
    <t>Sample SKU</t>
  </si>
  <si>
    <t>Unit Cost ($)</t>
  </si>
  <si>
    <t>Ordering cost per order</t>
  </si>
  <si>
    <t>Annual holding rate</t>
  </si>
  <si>
    <t>Lead Time (days)</t>
  </si>
  <si>
    <t>Service Factor (z)</t>
  </si>
  <si>
    <t>Calculated Metric</t>
  </si>
  <si>
    <t>Result</t>
  </si>
  <si>
    <t>Average Monthly Demand</t>
  </si>
  <si>
    <t>Monthly demand std dev</t>
  </si>
  <si>
    <t>Average daily demand</t>
  </si>
  <si>
    <t>Annual demand</t>
  </si>
  <si>
    <t>Holding cost per unit/year</t>
  </si>
  <si>
    <t>Lead time demand</t>
  </si>
  <si>
    <t>Safety Stock</t>
  </si>
  <si>
    <t>Reorder point</t>
  </si>
  <si>
    <t>EOQ</t>
  </si>
  <si>
    <t>Annual ordering cost</t>
  </si>
  <si>
    <t>Annual holding cost</t>
  </si>
  <si>
    <t>Total annual cost</t>
  </si>
  <si>
    <t>3-Month-Moving-Average</t>
  </si>
  <si>
    <t>Month</t>
  </si>
  <si>
    <t>Actual Demand</t>
  </si>
  <si>
    <t>Forecast</t>
  </si>
  <si>
    <t>Abs Error</t>
  </si>
  <si>
    <t>Abs % Error</t>
  </si>
  <si>
    <t>Jan-24</t>
  </si>
  <si>
    <t>Feb-24</t>
  </si>
  <si>
    <t>Mar-24</t>
  </si>
  <si>
    <t>Jan-25</t>
  </si>
  <si>
    <t>Mar-25</t>
  </si>
  <si>
    <t>Feb-25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</si>
  <si>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</si>
  <si>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</si>
  <si>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</si>
  <si>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</si>
  <si>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</si>
  <si>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</si>
  <si>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</si>
  <si>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</si>
  <si>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</si>
  <si>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Apr-25</t>
  </si>
  <si>
    <t>May-25</t>
  </si>
  <si>
    <t>Jun-25</t>
  </si>
  <si>
    <t>Forecast Summary</t>
  </si>
  <si>
    <t>Next month forecast</t>
  </si>
  <si>
    <t>Average APE</t>
  </si>
  <si>
    <t>MAPE</t>
  </si>
  <si>
    <t>Error</t>
  </si>
  <si>
    <t>Simple Exponential Smoothing</t>
  </si>
  <si>
    <t>SES</t>
  </si>
  <si>
    <t>LS</t>
  </si>
  <si>
    <t>% Error</t>
  </si>
  <si>
    <t>MAD</t>
  </si>
  <si>
    <t>MSE</t>
  </si>
  <si>
    <t>RMSE</t>
  </si>
  <si>
    <t>Notes</t>
  </si>
  <si>
    <t>1. Blue cell represents the decision variable in the Solver</t>
  </si>
  <si>
    <t>2. Yellow cell represents the objective cell (minimizing in this case)</t>
  </si>
  <si>
    <t>Scenario Analysis</t>
  </si>
  <si>
    <t>Scenario</t>
  </si>
  <si>
    <t>Reorder Point</t>
  </si>
  <si>
    <t>Total Annual Cost</t>
  </si>
  <si>
    <t>Lean</t>
  </si>
  <si>
    <t>Lean+</t>
  </si>
  <si>
    <t>Balanced</t>
  </si>
  <si>
    <t>Balanced+</t>
  </si>
  <si>
    <t>Protective</t>
  </si>
  <si>
    <t>Protective+</t>
  </si>
  <si>
    <t>Fast Replenishment</t>
  </si>
  <si>
    <t>Long Lead Time</t>
  </si>
  <si>
    <t>High Service</t>
  </si>
  <si>
    <t>Low Service</t>
  </si>
  <si>
    <t>Short LT + High SL</t>
  </si>
  <si>
    <t>Long LT +Low SL</t>
  </si>
  <si>
    <t>&lt;- Best scenario cost</t>
  </si>
  <si>
    <t>DES</t>
  </si>
  <si>
    <t>Level</t>
  </si>
  <si>
    <t>Trend</t>
  </si>
  <si>
    <t>TS</t>
  </si>
  <si>
    <t>k</t>
  </si>
  <si>
    <t>&lt;Holdout data (prediction)</t>
  </si>
  <si>
    <t>Double Exponential Smoothing</t>
  </si>
  <si>
    <t>Triple Exponential Smoothing</t>
  </si>
  <si>
    <t>TES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</si>
  <si>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</si>
  <si>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</si>
  <si>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</si>
  <si>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</si>
  <si>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</si>
  <si>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</si>
  <si>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</si>
  <si>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</si>
  <si>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</si>
  <si>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</si>
  <si>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</si>
  <si>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</si>
  <si>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Seasonality Index</t>
  </si>
  <si>
    <t>SS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</si>
  <si>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</si>
  <si>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</si>
  <si>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</si>
  <si>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</si>
  <si>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</si>
  <si>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</si>
  <si>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</si>
  <si>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</si>
  <si>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</si>
  <si>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</si>
  <si>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</si>
  <si>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</si>
  <si>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&lt;Holdout data begins (prediction)</t>
  </si>
  <si>
    <t>RMSE for Jul-25 to Jun-26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</si>
</sst>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0.000"/>
    <numFmt numFmtId="173" formatCode="0.000000000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2" fontId="0" fillId="0" borderId="0" xfId="0" applyNumberFormat="1"/>
    <xf numFmtId="10" fontId="0" fillId="0" borderId="0" xfId="2" applyNumberFormat="1" applyFont="1"/>
    <xf numFmtId="49" fontId="2" fillId="0" borderId="0" xfId="0" applyNumberFormat="1" applyFont="1"/>
    <xf numFmtId="10" fontId="0" fillId="0" borderId="0" xfId="0" applyNumberFormat="1"/>
    <xf numFmtId="49" fontId="4" fillId="0" borderId="0" xfId="0" applyNumberFormat="1" applyFont="1"/>
    <xf numFmtId="0" fontId="4" fillId="0" borderId="0" xfId="0" applyFont="1"/>
    <xf numFmtId="0" fontId="0" fillId="2" borderId="0" xfId="0" applyFill="1"/>
    <xf numFmtId="0" fontId="0" fillId="3" borderId="0" xfId="0" applyFill="1"/>
    <xf numFmtId="0" fontId="5" fillId="0" borderId="0" xfId="0" applyFont="1"/>
    <xf numFmtId="0" fontId="0" fillId="0" borderId="0" xfId="0" applyFill="1"/>
    <xf numFmtId="2" fontId="0" fillId="3" borderId="0" xfId="0" applyNumberFormat="1" applyFill="1"/>
    <xf numFmtId="49" fontId="0" fillId="0" borderId="0" xfId="0" applyNumberFormat="1" applyFont="1"/>
    <xf numFmtId="0" fontId="0" fillId="0" borderId="0" xfId="0" applyFont="1"/>
    <xf numFmtId="164" fontId="0" fillId="0" borderId="0" xfId="0" applyNumberFormat="1" applyFont="1"/>
    <xf numFmtId="164" fontId="0" fillId="4" borderId="0" xfId="0" applyNumberFormat="1" applyFill="1"/>
    <xf numFmtId="2" fontId="0" fillId="2" borderId="0" xfId="0" applyNumberFormat="1" applyFill="1"/>
    <xf numFmtId="2" fontId="6" fillId="3" borderId="0" xfId="0" applyNumberFormat="1" applyFont="1" applyFill="1"/>
    <xf numFmtId="173" fontId="0" fillId="0" borderId="0" xfId="2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3ECA2-56DD-47F8-B8A1-BAA17FC806D8}">
  <dimension ref="A2:C25"/>
  <sheetViews>
    <sheetView workbookViewId="0">
      <selection activeCell="E24" sqref="E24"/>
    </sheetView>
  </sheetViews>
  <sheetFormatPr defaultRowHeight="14.25"/>
  <cols>
    <col min="1" max="1" width="22.375" customWidth="1"/>
    <col min="2" max="2" width="14" customWidth="1"/>
  </cols>
  <sheetData>
    <row r="2" spans="1:3" ht="15">
      <c r="C2" s="1" t="s">
        <v>0</v>
      </c>
    </row>
    <row r="4" spans="1:3">
      <c r="A4" s="10" t="s">
        <v>1</v>
      </c>
      <c r="B4" s="10" t="s">
        <v>2</v>
      </c>
    </row>
    <row r="5" spans="1:3">
      <c r="A5" t="s">
        <v>3</v>
      </c>
      <c r="B5" t="s">
        <v>4</v>
      </c>
    </row>
    <row r="6" spans="1:3">
      <c r="A6" t="s">
        <v>5</v>
      </c>
      <c r="B6" s="2">
        <v>15</v>
      </c>
    </row>
    <row r="7" spans="1:3">
      <c r="A7" t="s">
        <v>6</v>
      </c>
      <c r="B7" s="2">
        <v>60</v>
      </c>
    </row>
    <row r="8" spans="1:3">
      <c r="A8" t="s">
        <v>7</v>
      </c>
      <c r="B8">
        <v>0.2</v>
      </c>
    </row>
    <row r="9" spans="1:3">
      <c r="A9" t="s">
        <v>8</v>
      </c>
      <c r="B9">
        <v>14</v>
      </c>
    </row>
    <row r="10" spans="1:3">
      <c r="A10" t="s">
        <v>9</v>
      </c>
      <c r="B10">
        <v>1.65</v>
      </c>
    </row>
    <row r="13" spans="1:3">
      <c r="A13" s="10" t="s">
        <v>10</v>
      </c>
      <c r="B13" s="10" t="s">
        <v>11</v>
      </c>
    </row>
    <row r="14" spans="1:3">
      <c r="A14" t="s">
        <v>12</v>
      </c>
      <c r="B14" s="5">
        <f>AVERAGE(Demand_MA!B5:B22)</f>
        <v>1200</v>
      </c>
    </row>
    <row r="15" spans="1:3">
      <c r="A15" t="s">
        <v>13</v>
      </c>
      <c r="B15" s="5">
        <f>132.1</f>
        <v>132.1</v>
      </c>
    </row>
    <row r="16" spans="1:3">
      <c r="A16" t="s">
        <v>14</v>
      </c>
      <c r="B16" s="5">
        <f>B14/30</f>
        <v>40</v>
      </c>
    </row>
    <row r="17" spans="1:2">
      <c r="A17" t="s">
        <v>15</v>
      </c>
      <c r="B17" s="5">
        <f>B14*12</f>
        <v>14400</v>
      </c>
    </row>
    <row r="18" spans="1:2">
      <c r="A18" t="s">
        <v>16</v>
      </c>
      <c r="B18" s="5">
        <f>B6*B8</f>
        <v>3</v>
      </c>
    </row>
    <row r="19" spans="1:2">
      <c r="A19" t="s">
        <v>17</v>
      </c>
      <c r="B19" s="5">
        <f>B16*B9</f>
        <v>560</v>
      </c>
    </row>
    <row r="20" spans="1:2">
      <c r="A20" t="s">
        <v>18</v>
      </c>
      <c r="B20" s="5">
        <f>B10*B15*SQRT(B9/30)</f>
        <v>148.8984415801589</v>
      </c>
    </row>
    <row r="21" spans="1:2">
      <c r="A21" t="s">
        <v>19</v>
      </c>
      <c r="B21" s="5">
        <f>B19+B20</f>
        <v>708.89844158015887</v>
      </c>
    </row>
    <row r="22" spans="1:2">
      <c r="A22" t="s">
        <v>20</v>
      </c>
      <c r="B22" s="5">
        <f>SQRT((2*B17*B7)/B18)</f>
        <v>758.94663844041099</v>
      </c>
    </row>
    <row r="23" spans="1:2">
      <c r="A23" t="s">
        <v>21</v>
      </c>
      <c r="B23" s="5">
        <f>(B17/B22)*B7</f>
        <v>1138.4199576606165</v>
      </c>
    </row>
    <row r="24" spans="1:2">
      <c r="A24" t="s">
        <v>22</v>
      </c>
      <c r="B24" s="5">
        <f>((B22/2)+B20)*B18</f>
        <v>1585.1152824010933</v>
      </c>
    </row>
    <row r="25" spans="1:2">
      <c r="A25" t="s">
        <v>23</v>
      </c>
      <c r="B25" s="5">
        <f>B23+B24</f>
        <v>2723.5352400617098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AE75B-AFA9-44EC-BDC5-BD4964F4B91B}">
  <dimension ref="A2:H26"/>
  <sheetViews>
    <sheetView workbookViewId="0">
      <selection activeCell="C31" sqref="C31"/>
    </sheetView>
  </sheetViews>
  <sheetFormatPr defaultRowHeight="14.25"/>
  <cols>
    <col min="1" max="1" width="13" style="3" customWidth="1"/>
    <col min="2" max="2" width="15" customWidth="1"/>
    <col min="3" max="3" width="12.625" customWidth="1"/>
    <col min="4" max="4" width="12.25" customWidth="1"/>
    <col min="5" max="5" width="11.75" customWidth="1"/>
    <col min="7" max="7" width="17.875" customWidth="1"/>
  </cols>
  <sheetData>
    <row r="2" spans="1:8" ht="15">
      <c r="C2" s="1" t="s">
        <v>24</v>
      </c>
    </row>
    <row r="4" spans="1:8" ht="15">
      <c r="A4" s="9" t="s">
        <v>25</v>
      </c>
      <c r="B4" s="10" t="s">
        <v>26</v>
      </c>
      <c r="C4" s="10" t="s">
        <v>27</v>
      </c>
      <c r="D4" s="10" t="s">
        <v>28</v>
      </c>
      <c r="E4" s="10" t="s">
        <v>29</v>
      </c>
      <c r="G4" s="1" t="s">
        <v>48</v>
      </c>
    </row>
    <row r="5" spans="1:8">
      <c r="A5" s="3" t="s">
        <v>30</v>
      </c>
      <c r="B5">
        <v>980</v>
      </c>
      <c r="G5" t="s">
        <v>49</v>
      </c>
      <c r="H5">
        <f>AVERAGE(B20:B22)</f>
        <v>1386.6666666666667</v>
      </c>
    </row>
    <row r="6" spans="1:8">
      <c r="A6" s="3" t="s">
        <v>31</v>
      </c>
      <c r="B6">
        <v>1025</v>
      </c>
      <c r="G6" t="s">
        <v>50</v>
      </c>
      <c r="H6" s="8">
        <f>AVERAGE(E8:E22)</f>
        <v>4.1711757079456582E-2</v>
      </c>
    </row>
    <row r="7" spans="1:8">
      <c r="A7" s="3" t="s">
        <v>32</v>
      </c>
      <c r="B7">
        <v>1010</v>
      </c>
      <c r="G7" t="s">
        <v>51</v>
      </c>
      <c r="H7" s="8">
        <f>H6</f>
        <v>4.1711757079456582E-2</v>
      </c>
    </row>
    <row r="8" spans="1:8">
      <c r="A8" s="3" t="s">
        <v>36</v>
      </c>
      <c r="B8">
        <v>1080</v>
      </c>
      <c r="C8" s="5">
        <f t="shared" ref="C8:C22" si="0">AVERAGE(B5:B7)</f>
        <v>1005</v>
      </c>
      <c r="D8" s="5">
        <f t="shared" ref="D8:D22" si="1">ABS(B8-C8)</f>
        <v>75</v>
      </c>
      <c r="E8" s="6">
        <f t="shared" ref="E8:E22" si="2">D8/B8</f>
        <v>6.9444444444444448E-2</v>
      </c>
    </row>
    <row r="9" spans="1:8">
      <c r="A9" s="3" t="s">
        <v>37</v>
      </c>
      <c r="B9">
        <v>1125</v>
      </c>
      <c r="C9" s="5">
        <f t="shared" si="0"/>
        <v>1038.3333333333333</v>
      </c>
      <c r="D9" s="5">
        <f t="shared" si="1"/>
        <v>86.666666666666742</v>
      </c>
      <c r="E9" s="6">
        <f t="shared" si="2"/>
        <v>7.7037037037037098E-2</v>
      </c>
    </row>
    <row r="10" spans="1:8">
      <c r="A10" s="3" t="s">
        <v>38</v>
      </c>
      <c r="B10">
        <v>1095</v>
      </c>
      <c r="C10" s="5">
        <f t="shared" si="0"/>
        <v>1071.6666666666667</v>
      </c>
      <c r="D10" s="5">
        <f t="shared" si="1"/>
        <v>23.333333333333258</v>
      </c>
      <c r="E10" s="6">
        <f t="shared" si="2"/>
        <v>2.1308980213089732E-2</v>
      </c>
    </row>
    <row r="11" spans="1:8">
      <c r="A11" s="3" t="s">
        <v>39</v>
      </c>
      <c r="B11">
        <v>1150</v>
      </c>
      <c r="C11" s="5">
        <f t="shared" si="0"/>
        <v>1100</v>
      </c>
      <c r="D11" s="5">
        <f t="shared" si="1"/>
        <v>50</v>
      </c>
      <c r="E11" s="6">
        <f t="shared" si="2"/>
        <v>4.3478260869565216E-2</v>
      </c>
    </row>
    <row r="12" spans="1:8">
      <c r="A12" s="3" t="s">
        <v>40</v>
      </c>
      <c r="B12">
        <v>1185</v>
      </c>
      <c r="C12" s="5">
        <f t="shared" si="0"/>
        <v>1123.3333333333333</v>
      </c>
      <c r="D12" s="5">
        <f t="shared" si="1"/>
        <v>61.666666666666742</v>
      </c>
      <c r="E12" s="6">
        <f t="shared" si="2"/>
        <v>5.2039381153305267E-2</v>
      </c>
    </row>
    <row r="13" spans="1:8">
      <c r="A13" s="3" t="s">
        <v>41</v>
      </c>
      <c r="B13">
        <v>1160</v>
      </c>
      <c r="C13" s="5">
        <f t="shared" si="0"/>
        <v>1143.3333333333333</v>
      </c>
      <c r="D13" s="5">
        <f t="shared" si="1"/>
        <v>16.666666666666742</v>
      </c>
      <c r="E13" s="6">
        <f t="shared" si="2"/>
        <v>1.4367816091954089E-2</v>
      </c>
    </row>
    <row r="14" spans="1:8">
      <c r="A14" s="3" t="s">
        <v>42</v>
      </c>
      <c r="B14">
        <v>1210</v>
      </c>
      <c r="C14" s="5">
        <f t="shared" si="0"/>
        <v>1165</v>
      </c>
      <c r="D14" s="5">
        <f t="shared" si="1"/>
        <v>45</v>
      </c>
      <c r="E14" s="6">
        <f t="shared" si="2"/>
        <v>3.71900826446281E-2</v>
      </c>
    </row>
    <row r="15" spans="1:8">
      <c r="A15" s="3" t="s">
        <v>43</v>
      </c>
      <c r="B15">
        <v>1240</v>
      </c>
      <c r="C15" s="5">
        <f t="shared" si="0"/>
        <v>1185</v>
      </c>
      <c r="D15" s="5">
        <f t="shared" si="1"/>
        <v>55</v>
      </c>
      <c r="E15" s="6">
        <f t="shared" si="2"/>
        <v>4.4354838709677422E-2</v>
      </c>
    </row>
    <row r="16" spans="1:8">
      <c r="A16" s="3" t="s">
        <v>44</v>
      </c>
      <c r="B16">
        <v>1285</v>
      </c>
      <c r="C16" s="5">
        <f t="shared" si="0"/>
        <v>1203.3333333333333</v>
      </c>
      <c r="D16" s="5">
        <f t="shared" si="1"/>
        <v>81.666666666666742</v>
      </c>
      <c r="E16" s="6">
        <f t="shared" si="2"/>
        <v>6.3553826199740662E-2</v>
      </c>
    </row>
    <row r="17" spans="1:5">
      <c r="A17" s="3" t="s">
        <v>33</v>
      </c>
      <c r="B17">
        <v>1260</v>
      </c>
      <c r="C17" s="5">
        <f t="shared" si="0"/>
        <v>1245</v>
      </c>
      <c r="D17" s="5">
        <f t="shared" si="1"/>
        <v>15</v>
      </c>
      <c r="E17" s="6">
        <f t="shared" si="2"/>
        <v>1.1904761904761904E-2</v>
      </c>
    </row>
    <row r="18" spans="1:5">
      <c r="A18" s="3" t="s">
        <v>35</v>
      </c>
      <c r="B18">
        <v>1305</v>
      </c>
      <c r="C18" s="5">
        <f t="shared" si="0"/>
        <v>1261.6666666666667</v>
      </c>
      <c r="D18" s="5">
        <f t="shared" si="1"/>
        <v>43.333333333333258</v>
      </c>
      <c r="E18" s="6">
        <f t="shared" si="2"/>
        <v>3.3205619412515909E-2</v>
      </c>
    </row>
    <row r="19" spans="1:5">
      <c r="A19" s="3" t="s">
        <v>34</v>
      </c>
      <c r="B19">
        <v>1330</v>
      </c>
      <c r="C19" s="5">
        <f t="shared" si="0"/>
        <v>1283.3333333333333</v>
      </c>
      <c r="D19" s="5">
        <f t="shared" si="1"/>
        <v>46.666666666666742</v>
      </c>
      <c r="E19" s="6">
        <f t="shared" si="2"/>
        <v>3.5087719298245668E-2</v>
      </c>
    </row>
    <row r="20" spans="1:5">
      <c r="A20" s="3" t="s">
        <v>45</v>
      </c>
      <c r="B20">
        <v>1365</v>
      </c>
      <c r="C20" s="5">
        <f t="shared" si="0"/>
        <v>1298.3333333333333</v>
      </c>
      <c r="D20" s="5">
        <f t="shared" si="1"/>
        <v>66.666666666666742</v>
      </c>
      <c r="E20" s="6">
        <f t="shared" si="2"/>
        <v>4.8840048840048896E-2</v>
      </c>
    </row>
    <row r="21" spans="1:5">
      <c r="A21" s="3" t="s">
        <v>46</v>
      </c>
      <c r="B21">
        <v>1380</v>
      </c>
      <c r="C21" s="5">
        <f t="shared" si="0"/>
        <v>1333.3333333333333</v>
      </c>
      <c r="D21" s="5">
        <f t="shared" si="1"/>
        <v>46.666666666666742</v>
      </c>
      <c r="E21" s="6">
        <f t="shared" si="2"/>
        <v>3.3816425120773E-2</v>
      </c>
    </row>
    <row r="22" spans="1:5">
      <c r="A22" s="3" t="s">
        <v>47</v>
      </c>
      <c r="B22">
        <v>1415</v>
      </c>
      <c r="C22" s="5">
        <f t="shared" si="0"/>
        <v>1358.3333333333333</v>
      </c>
      <c r="D22" s="5">
        <f t="shared" si="1"/>
        <v>56.666666666666742</v>
      </c>
      <c r="E22" s="6">
        <f t="shared" si="2"/>
        <v>4.0047114252061304E-2</v>
      </c>
    </row>
    <row r="26" spans="1:5" ht="15">
      <c r="A26" s="7"/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700A0-B20C-48F6-A2B0-05D29A23B2A4}">
  <dimension ref="A2:K26"/>
  <sheetViews>
    <sheetView tabSelected="1" workbookViewId="0">
      <selection activeCell="C4" sqref="C4"/>
    </sheetView>
  </sheetViews>
  <sheetFormatPr defaultRowHeight="14.25"/>
  <cols>
    <col min="1" max="1" width="13" style="3" customWidth="1"/>
    <col min="2" max="2" width="15" customWidth="1"/>
    <col min="3" max="3" width="12.625" customWidth="1"/>
    <col min="4" max="4" width="12.25" customWidth="1"/>
    <col min="5" max="5" width="11.75" customWidth="1"/>
    <col min="7" max="7" width="11.625" customWidth="1"/>
    <col min="8" max="8" width="17.875" customWidth="1"/>
  </cols>
  <sheetData>
    <row r="2" spans="1:11" ht="15">
      <c r="C2" s="1" t="s">
        <v>53</v>
      </c>
    </row>
    <row r="4" spans="1:11" ht="15">
      <c r="A4" s="9" t="s">
        <v>25</v>
      </c>
      <c r="B4" s="10" t="s">
        <v>26</v>
      </c>
      <c r="C4" s="10" t="s">
        <v>54</v>
      </c>
      <c r="D4" s="10" t="s">
        <v>52</v>
      </c>
      <c r="E4" s="10" t="s">
        <v>28</v>
      </c>
      <c r="F4" s="10" t="s">
        <v>56</v>
      </c>
      <c r="H4" s="1" t="s">
        <v>55</v>
      </c>
      <c r="I4" s="12">
        <v>0.95</v>
      </c>
      <c r="K4" t="s">
        <v>60</v>
      </c>
    </row>
    <row r="5" spans="1:11" ht="15">
      <c r="A5" s="3" t="s">
        <v>30</v>
      </c>
      <c r="B5">
        <v>980</v>
      </c>
      <c r="H5" s="1" t="s">
        <v>57</v>
      </c>
      <c r="I5" s="5">
        <f>AVERAGE(E6:E22)</f>
        <v>36.954779077993059</v>
      </c>
      <c r="K5" t="s">
        <v>61</v>
      </c>
    </row>
    <row r="6" spans="1:11" ht="15">
      <c r="A6" s="3" t="s">
        <v>31</v>
      </c>
      <c r="B6">
        <v>1025</v>
      </c>
      <c r="C6" s="4">
        <f>B5</f>
        <v>980</v>
      </c>
      <c r="D6" s="5">
        <f>B6-C6</f>
        <v>45</v>
      </c>
      <c r="E6" s="5">
        <f>ABS(D6)</f>
        <v>45</v>
      </c>
      <c r="F6" s="6">
        <f>E6/B6</f>
        <v>4.3902439024390241E-2</v>
      </c>
      <c r="G6" s="6"/>
      <c r="H6" s="1" t="s">
        <v>51</v>
      </c>
      <c r="I6" s="8">
        <f>AVERAGE(F6:F22)</f>
        <v>3.0963967241692304E-2</v>
      </c>
      <c r="K6" t="s">
        <v>62</v>
      </c>
    </row>
    <row r="7" spans="1:11" ht="15">
      <c r="A7" s="3" t="s">
        <v>32</v>
      </c>
      <c r="B7">
        <v>1010</v>
      </c>
      <c r="C7" s="4">
        <f>$I$4*B6+(1-$I$4)*C6</f>
        <v>1022.75</v>
      </c>
      <c r="D7" s="5">
        <f t="shared" ref="D7:D22" si="0">B7-C7</f>
        <v>-12.75</v>
      </c>
      <c r="E7" s="5">
        <f t="shared" ref="E7:E22" si="1">ABS(D7)</f>
        <v>12.75</v>
      </c>
      <c r="F7" s="6">
        <f t="shared" ref="F7:F22" si="2">E7/B7</f>
        <v>1.2623762376237625E-2</v>
      </c>
      <c r="G7" s="6"/>
      <c r="H7" s="1" t="s">
        <v>58</v>
      </c>
      <c r="I7">
        <f>SUMSQ(D6:D22)/(COUNT(D6:D22)-1)</f>
        <v>1663.5456533441061</v>
      </c>
    </row>
    <row r="8" spans="1:11" ht="15">
      <c r="A8" s="3" t="s">
        <v>36</v>
      </c>
      <c r="B8">
        <v>1080</v>
      </c>
      <c r="C8" s="4">
        <f t="shared" ref="C8:C22" si="3">$I$4*B7+(1-$I$4)*C7</f>
        <v>1010.6375</v>
      </c>
      <c r="D8" s="5">
        <f t="shared" si="0"/>
        <v>69.362499999999955</v>
      </c>
      <c r="E8" s="5">
        <f t="shared" si="1"/>
        <v>69.362499999999955</v>
      </c>
      <c r="F8" s="6">
        <f t="shared" si="2"/>
        <v>6.4224537037036997E-2</v>
      </c>
      <c r="G8" s="6"/>
      <c r="H8" s="1" t="s">
        <v>59</v>
      </c>
      <c r="I8" s="11">
        <f>SQRT(I7)</f>
        <v>40.786586684155196</v>
      </c>
    </row>
    <row r="9" spans="1:11">
      <c r="A9" s="3" t="s">
        <v>37</v>
      </c>
      <c r="B9">
        <v>1125</v>
      </c>
      <c r="C9" s="4">
        <f t="shared" si="3"/>
        <v>1076.5318750000001</v>
      </c>
      <c r="D9" s="5">
        <f t="shared" si="0"/>
        <v>48.468124999999873</v>
      </c>
      <c r="E9" s="5">
        <f t="shared" si="1"/>
        <v>48.468124999999873</v>
      </c>
      <c r="F9" s="6">
        <f t="shared" si="2"/>
        <v>4.3082777777777664E-2</v>
      </c>
      <c r="G9" s="6"/>
    </row>
    <row r="10" spans="1:11">
      <c r="A10" s="3" t="s">
        <v>38</v>
      </c>
      <c r="B10">
        <v>1095</v>
      </c>
      <c r="C10" s="4">
        <f t="shared" si="3"/>
        <v>1122.57659375</v>
      </c>
      <c r="D10" s="5">
        <f t="shared" si="0"/>
        <v>-27.576593750000029</v>
      </c>
      <c r="E10" s="5">
        <f t="shared" si="1"/>
        <v>27.576593750000029</v>
      </c>
      <c r="F10" s="6">
        <f t="shared" si="2"/>
        <v>2.5184103881278567E-2</v>
      </c>
      <c r="G10" s="6"/>
    </row>
    <row r="11" spans="1:11">
      <c r="A11" s="3" t="s">
        <v>39</v>
      </c>
      <c r="B11">
        <v>1150</v>
      </c>
      <c r="C11" s="4">
        <f t="shared" si="3"/>
        <v>1096.3788296875</v>
      </c>
      <c r="D11" s="5">
        <f t="shared" si="0"/>
        <v>53.621170312499999</v>
      </c>
      <c r="E11" s="5">
        <f t="shared" si="1"/>
        <v>53.621170312499999</v>
      </c>
      <c r="F11" s="6">
        <f t="shared" si="2"/>
        <v>4.6627104619565214E-2</v>
      </c>
      <c r="G11" s="6"/>
    </row>
    <row r="12" spans="1:11">
      <c r="A12" s="3" t="s">
        <v>40</v>
      </c>
      <c r="B12">
        <v>1185</v>
      </c>
      <c r="C12" s="4">
        <f t="shared" si="3"/>
        <v>1147.318941484375</v>
      </c>
      <c r="D12" s="5">
        <f t="shared" si="0"/>
        <v>37.681058515624954</v>
      </c>
      <c r="E12" s="5">
        <f t="shared" si="1"/>
        <v>37.681058515624954</v>
      </c>
      <c r="F12" s="6">
        <f t="shared" si="2"/>
        <v>3.179836161656114E-2</v>
      </c>
      <c r="G12" s="6"/>
    </row>
    <row r="13" spans="1:11">
      <c r="A13" s="3" t="s">
        <v>41</v>
      </c>
      <c r="B13">
        <v>1160</v>
      </c>
      <c r="C13" s="4">
        <f t="shared" si="3"/>
        <v>1183.1159470742189</v>
      </c>
      <c r="D13" s="5">
        <f t="shared" si="0"/>
        <v>-23.115947074218866</v>
      </c>
      <c r="E13" s="5">
        <f t="shared" si="1"/>
        <v>23.115947074218866</v>
      </c>
      <c r="F13" s="6">
        <f t="shared" si="2"/>
        <v>1.992754058122316E-2</v>
      </c>
      <c r="G13" s="6"/>
    </row>
    <row r="14" spans="1:11">
      <c r="A14" s="3" t="s">
        <v>42</v>
      </c>
      <c r="B14">
        <v>1210</v>
      </c>
      <c r="C14" s="4">
        <f t="shared" si="3"/>
        <v>1161.155797353711</v>
      </c>
      <c r="D14" s="5">
        <f t="shared" si="0"/>
        <v>48.844202646288977</v>
      </c>
      <c r="E14" s="5">
        <f t="shared" si="1"/>
        <v>48.844202646288977</v>
      </c>
      <c r="F14" s="6">
        <f t="shared" si="2"/>
        <v>4.0367109625032212E-2</v>
      </c>
      <c r="G14" s="6"/>
    </row>
    <row r="15" spans="1:11">
      <c r="A15" s="3" t="s">
        <v>43</v>
      </c>
      <c r="B15">
        <v>1240</v>
      </c>
      <c r="C15" s="4">
        <f t="shared" si="3"/>
        <v>1207.5577898676856</v>
      </c>
      <c r="D15" s="5">
        <f t="shared" si="0"/>
        <v>32.442210132314358</v>
      </c>
      <c r="E15" s="5">
        <f t="shared" si="1"/>
        <v>32.442210132314358</v>
      </c>
      <c r="F15" s="6">
        <f t="shared" si="2"/>
        <v>2.616307268735029E-2</v>
      </c>
      <c r="G15" s="6"/>
    </row>
    <row r="16" spans="1:11">
      <c r="A16" s="3" t="s">
        <v>44</v>
      </c>
      <c r="B16">
        <v>1285</v>
      </c>
      <c r="C16" s="4">
        <f t="shared" si="3"/>
        <v>1238.3778894933844</v>
      </c>
      <c r="D16" s="5">
        <f t="shared" si="0"/>
        <v>46.622110506615627</v>
      </c>
      <c r="E16" s="5">
        <f t="shared" si="1"/>
        <v>46.622110506615627</v>
      </c>
      <c r="F16" s="6">
        <f t="shared" si="2"/>
        <v>3.6281798059623054E-2</v>
      </c>
      <c r="G16" s="6"/>
    </row>
    <row r="17" spans="1:7">
      <c r="A17" s="3" t="s">
        <v>33</v>
      </c>
      <c r="B17">
        <v>1260</v>
      </c>
      <c r="C17" s="4">
        <f t="shared" si="3"/>
        <v>1282.6688944746693</v>
      </c>
      <c r="D17" s="5">
        <f t="shared" si="0"/>
        <v>-22.668894474669287</v>
      </c>
      <c r="E17" s="5">
        <f t="shared" si="1"/>
        <v>22.668894474669287</v>
      </c>
      <c r="F17" s="6">
        <f t="shared" si="2"/>
        <v>1.7991186091007371E-2</v>
      </c>
      <c r="G17" s="6"/>
    </row>
    <row r="18" spans="1:7">
      <c r="A18" s="3" t="s">
        <v>35</v>
      </c>
      <c r="B18">
        <v>1305</v>
      </c>
      <c r="C18" s="4">
        <f t="shared" si="3"/>
        <v>1261.1334447237334</v>
      </c>
      <c r="D18" s="5">
        <f t="shared" si="0"/>
        <v>43.866555276266581</v>
      </c>
      <c r="E18" s="5">
        <f t="shared" si="1"/>
        <v>43.866555276266581</v>
      </c>
      <c r="F18" s="6">
        <f t="shared" si="2"/>
        <v>3.3614218602503125E-2</v>
      </c>
      <c r="G18" s="6"/>
    </row>
    <row r="19" spans="1:7">
      <c r="A19" s="3" t="s">
        <v>34</v>
      </c>
      <c r="B19">
        <v>1330</v>
      </c>
      <c r="C19" s="4">
        <f t="shared" si="3"/>
        <v>1302.8066722361868</v>
      </c>
      <c r="D19" s="5">
        <f t="shared" si="0"/>
        <v>27.193327763813159</v>
      </c>
      <c r="E19" s="5">
        <f t="shared" si="1"/>
        <v>27.193327763813159</v>
      </c>
      <c r="F19" s="6">
        <f t="shared" si="2"/>
        <v>2.0446111100611397E-2</v>
      </c>
      <c r="G19" s="6"/>
    </row>
    <row r="20" spans="1:7">
      <c r="A20" s="3" t="s">
        <v>45</v>
      </c>
      <c r="B20">
        <v>1365</v>
      </c>
      <c r="C20" s="4">
        <f t="shared" si="3"/>
        <v>1328.6403336118094</v>
      </c>
      <c r="D20" s="5">
        <f t="shared" si="0"/>
        <v>36.35966638819059</v>
      </c>
      <c r="E20" s="5">
        <f t="shared" si="1"/>
        <v>36.35966638819059</v>
      </c>
      <c r="F20" s="6">
        <f t="shared" si="2"/>
        <v>2.663711823310666E-2</v>
      </c>
      <c r="G20" s="6"/>
    </row>
    <row r="21" spans="1:7">
      <c r="A21" s="3" t="s">
        <v>46</v>
      </c>
      <c r="B21">
        <v>1380</v>
      </c>
      <c r="C21" s="4">
        <f t="shared" si="3"/>
        <v>1363.1820166805906</v>
      </c>
      <c r="D21" s="5">
        <f t="shared" si="0"/>
        <v>16.81798331940945</v>
      </c>
      <c r="E21" s="5">
        <f t="shared" si="1"/>
        <v>16.81798331940945</v>
      </c>
      <c r="F21" s="6">
        <f t="shared" si="2"/>
        <v>1.2186944434354674E-2</v>
      </c>
      <c r="G21" s="6"/>
    </row>
    <row r="22" spans="1:7">
      <c r="A22" s="3" t="s">
        <v>47</v>
      </c>
      <c r="B22">
        <v>1415</v>
      </c>
      <c r="C22" s="4">
        <f t="shared" si="3"/>
        <v>1379.1591008340297</v>
      </c>
      <c r="D22" s="5">
        <f t="shared" si="0"/>
        <v>35.840899165970313</v>
      </c>
      <c r="E22" s="5">
        <f t="shared" si="1"/>
        <v>35.840899165970313</v>
      </c>
      <c r="F22" s="6">
        <f t="shared" si="2"/>
        <v>2.5329257361109761E-2</v>
      </c>
      <c r="G22" s="6"/>
    </row>
    <row r="26" spans="1:7" ht="15">
      <c r="A26" s="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C59A7-9E95-4BD0-8A8B-1AEF1712959F}">
  <dimension ref="A2:L28"/>
  <sheetViews>
    <sheetView workbookViewId="0">
      <selection activeCell="A29" sqref="A29"/>
    </sheetView>
  </sheetViews>
  <sheetFormatPr defaultRowHeight="14.25"/>
  <cols>
    <col min="1" max="1" width="13" style="3" customWidth="1"/>
    <col min="2" max="2" width="15" customWidth="1"/>
    <col min="3" max="3" width="5.375" customWidth="1"/>
    <col min="4" max="4" width="12.625" customWidth="1"/>
    <col min="5" max="5" width="12.25" customWidth="1"/>
    <col min="6" max="6" width="11.75" customWidth="1"/>
    <col min="8" max="8" width="11.625" customWidth="1"/>
    <col min="9" max="9" width="17.875" customWidth="1"/>
  </cols>
  <sheetData>
    <row r="2" spans="1:12" ht="15">
      <c r="D2" s="1" t="s">
        <v>86</v>
      </c>
    </row>
    <row r="4" spans="1:12" ht="15">
      <c r="A4" s="9" t="s">
        <v>25</v>
      </c>
      <c r="B4" s="10" t="s">
        <v>26</v>
      </c>
      <c r="C4" s="10"/>
      <c r="D4" s="10" t="s">
        <v>80</v>
      </c>
      <c r="E4" s="10" t="s">
        <v>81</v>
      </c>
      <c r="F4" s="10" t="s">
        <v>82</v>
      </c>
      <c r="G4" s="10"/>
      <c r="I4" s="1" t="s">
        <v>55</v>
      </c>
      <c r="J4" s="12">
        <v>0.27935352844494099</v>
      </c>
      <c r="L4" t="s">
        <v>60</v>
      </c>
    </row>
    <row r="5" spans="1:12" ht="15">
      <c r="A5" s="3" t="s">
        <v>30</v>
      </c>
      <c r="B5">
        <v>980</v>
      </c>
      <c r="E5" s="10"/>
      <c r="F5" s="10"/>
      <c r="G5" s="10"/>
      <c r="I5" s="1" t="s">
        <v>83</v>
      </c>
      <c r="J5" s="15">
        <v>0.95</v>
      </c>
      <c r="L5" t="s">
        <v>61</v>
      </c>
    </row>
    <row r="6" spans="1:12" ht="15">
      <c r="A6" s="3" t="s">
        <v>31</v>
      </c>
      <c r="B6">
        <v>1025</v>
      </c>
      <c r="D6" s="4"/>
      <c r="E6" s="18">
        <f>AVERAGE(B5:B6)</f>
        <v>1002.5</v>
      </c>
      <c r="F6" s="18">
        <f>B6-B5</f>
        <v>45</v>
      </c>
      <c r="G6" s="10"/>
      <c r="H6" s="6"/>
      <c r="I6" s="1" t="s">
        <v>59</v>
      </c>
      <c r="J6" s="20">
        <f>SQRT(SUMXMY2(B7:B22,D7:D22)/(COUNT(B7:B22)-1))</f>
        <v>26.761858705399153</v>
      </c>
      <c r="L6" t="s">
        <v>62</v>
      </c>
    </row>
    <row r="7" spans="1:12" ht="15">
      <c r="A7" s="3" t="s">
        <v>32</v>
      </c>
      <c r="B7">
        <v>1010</v>
      </c>
      <c r="D7" s="4">
        <f>E6+F6</f>
        <v>1047.5</v>
      </c>
      <c r="E7" s="18">
        <f>$J$4*B7+(1-$J$4)*(E6+F6)</f>
        <v>1037.0242426833147</v>
      </c>
      <c r="F7" s="18">
        <f>$J$5*(E7-E6)+(1-$J$5)*F6</f>
        <v>35.048030549148962</v>
      </c>
      <c r="G7" s="10"/>
      <c r="H7" s="6"/>
      <c r="I7" s="1"/>
    </row>
    <row r="8" spans="1:12" ht="15">
      <c r="A8" s="3" t="s">
        <v>36</v>
      </c>
      <c r="B8">
        <v>1080</v>
      </c>
      <c r="D8" s="4">
        <f t="shared" ref="D8:D22" si="0">E7+F7</f>
        <v>1072.0722732324637</v>
      </c>
      <c r="E8" s="18">
        <f t="shared" ref="E8:E22" si="1">$J$4*B8+(1-$J$4)*(E7+F7)</f>
        <v>1074.2869116775223</v>
      </c>
      <c r="F8" s="18">
        <f t="shared" ref="F8:F22" si="2">$J$5*(E8-E7)+(1-$J$5)*F7</f>
        <v>37.151937071954684</v>
      </c>
      <c r="G8" s="10"/>
      <c r="H8" s="6"/>
      <c r="I8" s="1"/>
      <c r="J8" s="14"/>
    </row>
    <row r="9" spans="1:12">
      <c r="A9" s="3" t="s">
        <v>37</v>
      </c>
      <c r="B9">
        <v>1125</v>
      </c>
      <c r="D9" s="4">
        <f t="shared" si="0"/>
        <v>1111.4388487494771</v>
      </c>
      <c r="E9" s="18">
        <f t="shared" si="1"/>
        <v>1115.2272042010861</v>
      </c>
      <c r="F9" s="18">
        <f t="shared" si="2"/>
        <v>40.750874750983357</v>
      </c>
      <c r="G9" s="10"/>
      <c r="H9" s="6"/>
    </row>
    <row r="10" spans="1:12">
      <c r="A10" s="3" t="s">
        <v>38</v>
      </c>
      <c r="B10">
        <v>1095</v>
      </c>
      <c r="D10" s="4">
        <f t="shared" si="0"/>
        <v>1155.9780789520694</v>
      </c>
      <c r="E10" s="18">
        <f t="shared" si="1"/>
        <v>1138.9436374390148</v>
      </c>
      <c r="F10" s="18">
        <f t="shared" si="2"/>
        <v>24.568155313581379</v>
      </c>
      <c r="G10" s="10"/>
      <c r="H10" s="6"/>
    </row>
    <row r="11" spans="1:12">
      <c r="A11" s="3" t="s">
        <v>39</v>
      </c>
      <c r="B11">
        <v>1150</v>
      </c>
      <c r="D11" s="4">
        <f t="shared" si="0"/>
        <v>1163.5117927525962</v>
      </c>
      <c r="E11" s="18">
        <f t="shared" si="1"/>
        <v>1159.7372257715417</v>
      </c>
      <c r="F11" s="18">
        <f t="shared" si="2"/>
        <v>20.982316681579672</v>
      </c>
      <c r="G11" s="10"/>
      <c r="H11" s="6"/>
    </row>
    <row r="12" spans="1:12">
      <c r="A12" s="3" t="s">
        <v>40</v>
      </c>
      <c r="B12">
        <v>1185</v>
      </c>
      <c r="D12" s="4">
        <f t="shared" si="0"/>
        <v>1180.7195424531214</v>
      </c>
      <c r="E12" s="18">
        <f t="shared" si="1"/>
        <v>1181.9153033722007</v>
      </c>
      <c r="F12" s="18">
        <f t="shared" si="2"/>
        <v>22.118289554705015</v>
      </c>
      <c r="G12" s="10"/>
      <c r="H12" s="6"/>
    </row>
    <row r="13" spans="1:12">
      <c r="A13" s="3" t="s">
        <v>41</v>
      </c>
      <c r="B13">
        <v>1160</v>
      </c>
      <c r="D13" s="4">
        <f t="shared" si="0"/>
        <v>1204.0335929269056</v>
      </c>
      <c r="E13" s="18">
        <f t="shared" si="1"/>
        <v>1191.7326533726664</v>
      </c>
      <c r="F13" s="18">
        <f t="shared" si="2"/>
        <v>10.43239697817766</v>
      </c>
      <c r="G13" s="10"/>
      <c r="H13" s="6"/>
    </row>
    <row r="14" spans="1:12">
      <c r="A14" s="3" t="s">
        <v>42</v>
      </c>
      <c r="B14">
        <v>1210</v>
      </c>
      <c r="D14" s="4">
        <f t="shared" si="0"/>
        <v>1202.165050350844</v>
      </c>
      <c r="E14" s="18">
        <f>$J$4*B14+(1-$J$4)*(E13+F13)</f>
        <v>1204.3537711805241</v>
      </c>
      <c r="F14" s="18">
        <f t="shared" si="2"/>
        <v>12.511681766373671</v>
      </c>
      <c r="G14" s="10"/>
      <c r="H14" s="6"/>
    </row>
    <row r="15" spans="1:12">
      <c r="A15" s="3" t="s">
        <v>43</v>
      </c>
      <c r="B15">
        <v>1240</v>
      </c>
      <c r="D15" s="4">
        <f t="shared" si="0"/>
        <v>1216.8654529468977</v>
      </c>
      <c r="E15" s="18">
        <f t="shared" si="1"/>
        <v>1223.3281702951574</v>
      </c>
      <c r="F15" s="18">
        <f t="shared" si="2"/>
        <v>18.65126324722036</v>
      </c>
      <c r="G15" s="10"/>
      <c r="H15" s="6"/>
    </row>
    <row r="16" spans="1:12">
      <c r="A16" s="3" t="s">
        <v>44</v>
      </c>
      <c r="B16">
        <v>1285</v>
      </c>
      <c r="D16" s="4">
        <f t="shared" si="0"/>
        <v>1241.9794335423778</v>
      </c>
      <c r="E16" s="18">
        <f t="shared" si="1"/>
        <v>1253.9973805780146</v>
      </c>
      <c r="F16" s="18">
        <f t="shared" si="2"/>
        <v>30.068312931075351</v>
      </c>
      <c r="G16" s="10"/>
      <c r="H16" s="6"/>
    </row>
    <row r="17" spans="1:8">
      <c r="A17" s="3" t="s">
        <v>33</v>
      </c>
      <c r="B17">
        <v>1260</v>
      </c>
      <c r="D17" s="4">
        <f t="shared" si="0"/>
        <v>1284.0656935090899</v>
      </c>
      <c r="E17" s="18">
        <f t="shared" si="1"/>
        <v>1277.3428571128511</v>
      </c>
      <c r="F17" s="18">
        <f t="shared" si="2"/>
        <v>23.68161835464845</v>
      </c>
      <c r="G17" s="10"/>
      <c r="H17" s="6"/>
    </row>
    <row r="18" spans="1:8">
      <c r="A18" s="3" t="s">
        <v>35</v>
      </c>
      <c r="B18">
        <v>1305</v>
      </c>
      <c r="D18" s="4">
        <f t="shared" si="0"/>
        <v>1301.0244754674995</v>
      </c>
      <c r="E18" s="18">
        <f t="shared" si="1"/>
        <v>1302.1350522730729</v>
      </c>
      <c r="F18" s="18">
        <f t="shared" si="2"/>
        <v>24.73666631994314</v>
      </c>
      <c r="G18" s="10"/>
      <c r="H18" s="6"/>
    </row>
    <row r="19" spans="1:8">
      <c r="A19" s="3" t="s">
        <v>34</v>
      </c>
      <c r="B19">
        <v>1330</v>
      </c>
      <c r="D19" s="4">
        <f t="shared" si="0"/>
        <v>1326.8717185930161</v>
      </c>
      <c r="E19" s="18">
        <f t="shared" si="1"/>
        <v>1327.7456150420257</v>
      </c>
      <c r="F19" s="18">
        <f t="shared" si="2"/>
        <v>25.566867946502349</v>
      </c>
      <c r="G19" s="10"/>
      <c r="H19" s="6"/>
    </row>
    <row r="20" spans="1:8">
      <c r="A20" s="3" t="s">
        <v>45</v>
      </c>
      <c r="B20">
        <v>1365</v>
      </c>
      <c r="D20" s="4">
        <f t="shared" si="0"/>
        <v>1353.312482988528</v>
      </c>
      <c r="E20" s="18">
        <f t="shared" si="1"/>
        <v>1356.577432104443</v>
      </c>
      <c r="F20" s="18">
        <f t="shared" si="2"/>
        <v>28.668569606621514</v>
      </c>
      <c r="G20" s="10"/>
      <c r="H20" s="6"/>
    </row>
    <row r="21" spans="1:8">
      <c r="A21" s="3" t="s">
        <v>46</v>
      </c>
      <c r="B21">
        <v>1380</v>
      </c>
      <c r="D21" s="4">
        <f t="shared" si="0"/>
        <v>1385.2460017110645</v>
      </c>
      <c r="E21" s="18">
        <f t="shared" si="1"/>
        <v>1383.7805126228504</v>
      </c>
      <c r="F21" s="18">
        <f t="shared" si="2"/>
        <v>27.276354972818137</v>
      </c>
      <c r="G21" s="10"/>
      <c r="H21" s="6"/>
    </row>
    <row r="22" spans="1:8" ht="15">
      <c r="A22" s="3" t="s">
        <v>47</v>
      </c>
      <c r="B22">
        <v>1415</v>
      </c>
      <c r="C22" s="1" t="s">
        <v>84</v>
      </c>
      <c r="D22" s="4">
        <f t="shared" si="0"/>
        <v>1411.0568675956686</v>
      </c>
      <c r="E22" s="18">
        <f t="shared" si="1"/>
        <v>1412.1583955459441</v>
      </c>
      <c r="F22" s="18">
        <f t="shared" si="2"/>
        <v>28.322806525579917</v>
      </c>
      <c r="G22" s="10"/>
      <c r="H22" s="6"/>
    </row>
    <row r="23" spans="1:8" ht="15">
      <c r="A23" s="3" t="s">
        <v>89</v>
      </c>
      <c r="C23">
        <v>1</v>
      </c>
      <c r="D23" s="19">
        <f>$E$22+C23*$F$22</f>
        <v>1440.481202071524</v>
      </c>
      <c r="G23" s="1" t="s">
        <v>85</v>
      </c>
    </row>
    <row r="24" spans="1:8">
      <c r="A24" s="3" t="s">
        <v>90</v>
      </c>
      <c r="C24">
        <v>2</v>
      </c>
      <c r="D24" s="19">
        <f t="shared" ref="D24:D28" si="3">$E$22+C24*$F$22</f>
        <v>1468.804008597104</v>
      </c>
    </row>
    <row r="25" spans="1:8">
      <c r="A25" s="3" t="s">
        <v>91</v>
      </c>
      <c r="C25">
        <v>3</v>
      </c>
      <c r="D25" s="19">
        <f>$E$22+C25*$F$22</f>
        <v>1497.1268151226839</v>
      </c>
    </row>
    <row r="26" spans="1:8">
      <c r="A26" s="16" t="s">
        <v>92</v>
      </c>
      <c r="C26">
        <v>4</v>
      </c>
      <c r="D26" s="19">
        <f t="shared" si="3"/>
        <v>1525.4496216482637</v>
      </c>
    </row>
    <row r="27" spans="1:8">
      <c r="A27" s="3" t="s">
        <v>93</v>
      </c>
      <c r="C27">
        <v>5</v>
      </c>
      <c r="D27" s="19">
        <f>$E$22+C27*$F$22</f>
        <v>1553.7724281738438</v>
      </c>
    </row>
    <row r="28" spans="1:8">
      <c r="A28" s="3" t="s">
        <v>94</v>
      </c>
      <c r="C28">
        <v>6</v>
      </c>
      <c r="D28" s="19">
        <f t="shared" si="3"/>
        <v>1582.0952346994236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EE60A-1006-4095-9CBC-6AC227B66D06}">
  <dimension ref="A2:M34"/>
  <sheetViews>
    <sheetView workbookViewId="0">
      <selection activeCell="I15" sqref="I15"/>
    </sheetView>
  </sheetViews>
  <sheetFormatPr defaultRowHeight="14.25"/>
  <cols>
    <col min="1" max="1" width="13" style="3" customWidth="1"/>
    <col min="2" max="2" width="15" customWidth="1"/>
    <col min="3" max="3" width="5.75" customWidth="1"/>
    <col min="4" max="4" width="12.625" customWidth="1"/>
    <col min="5" max="5" width="12.25" customWidth="1"/>
    <col min="6" max="6" width="11.75" customWidth="1"/>
    <col min="8" max="9" width="18.125" customWidth="1"/>
    <col min="10" max="10" width="20.625" customWidth="1"/>
  </cols>
  <sheetData>
    <row r="2" spans="1:13" ht="15">
      <c r="D2" s="1" t="s">
        <v>87</v>
      </c>
    </row>
    <row r="4" spans="1:13" ht="15">
      <c r="A4" s="9" t="s">
        <v>25</v>
      </c>
      <c r="B4" s="10" t="s">
        <v>26</v>
      </c>
      <c r="C4" s="10"/>
      <c r="D4" s="10" t="s">
        <v>88</v>
      </c>
      <c r="E4" s="10" t="s">
        <v>81</v>
      </c>
      <c r="F4" s="10" t="s">
        <v>82</v>
      </c>
      <c r="G4" s="10" t="s">
        <v>25</v>
      </c>
      <c r="H4" s="10" t="s">
        <v>101</v>
      </c>
      <c r="I4" s="10"/>
      <c r="J4" s="1" t="s">
        <v>55</v>
      </c>
      <c r="K4" s="12">
        <v>0.74486937505344031</v>
      </c>
      <c r="M4" t="s">
        <v>60</v>
      </c>
    </row>
    <row r="5" spans="1:13" ht="15">
      <c r="A5" s="3" t="s">
        <v>30</v>
      </c>
      <c r="B5">
        <v>980</v>
      </c>
      <c r="E5" s="10"/>
      <c r="F5" s="10"/>
      <c r="G5" s="17" t="s">
        <v>103</v>
      </c>
      <c r="H5">
        <f>B5/$E$10</f>
        <v>0.93111638954869358</v>
      </c>
      <c r="J5" s="1" t="s">
        <v>83</v>
      </c>
      <c r="K5" s="21">
        <v>0.99</v>
      </c>
      <c r="M5" t="s">
        <v>61</v>
      </c>
    </row>
    <row r="6" spans="1:13" ht="15">
      <c r="A6" s="3" t="s">
        <v>31</v>
      </c>
      <c r="B6">
        <v>1025</v>
      </c>
      <c r="D6" s="4"/>
      <c r="E6" s="10"/>
      <c r="F6" s="10"/>
      <c r="G6" s="17" t="s">
        <v>104</v>
      </c>
      <c r="H6">
        <f t="shared" ref="H6:H10" si="0">B6/$E$10</f>
        <v>0.97387173396674587</v>
      </c>
      <c r="I6" s="6"/>
      <c r="J6" s="1" t="s">
        <v>102</v>
      </c>
      <c r="K6" s="21">
        <v>0.99</v>
      </c>
      <c r="M6" t="s">
        <v>62</v>
      </c>
    </row>
    <row r="7" spans="1:13" ht="15">
      <c r="A7" s="3" t="s">
        <v>32</v>
      </c>
      <c r="B7">
        <v>1010</v>
      </c>
      <c r="D7" s="4"/>
      <c r="E7" s="10"/>
      <c r="F7" s="10"/>
      <c r="G7" s="17" t="s">
        <v>105</v>
      </c>
      <c r="H7">
        <f t="shared" si="0"/>
        <v>0.95961995249406173</v>
      </c>
      <c r="I7" s="6"/>
      <c r="J7" s="1" t="s">
        <v>116</v>
      </c>
      <c r="K7" s="11">
        <f>SQRT(SQRT(SUMXMY2(B23:B34,D23:D34)/(COUNT(B23:B34)-1)))</f>
        <v>18.306123697618201</v>
      </c>
    </row>
    <row r="8" spans="1:13" ht="15">
      <c r="A8" s="3" t="s">
        <v>36</v>
      </c>
      <c r="B8">
        <v>1080</v>
      </c>
      <c r="D8" s="4"/>
      <c r="E8" s="10"/>
      <c r="F8" s="10"/>
      <c r="G8" s="17" t="s">
        <v>106</v>
      </c>
      <c r="H8">
        <f t="shared" si="0"/>
        <v>1.0261282660332542</v>
      </c>
      <c r="I8" s="6"/>
      <c r="J8" s="1"/>
      <c r="K8" s="14"/>
    </row>
    <row r="9" spans="1:13">
      <c r="A9" s="3" t="s">
        <v>37</v>
      </c>
      <c r="B9">
        <v>1125</v>
      </c>
      <c r="D9" s="4"/>
      <c r="E9" s="10"/>
      <c r="F9" s="10"/>
      <c r="G9" s="17" t="s">
        <v>107</v>
      </c>
      <c r="H9">
        <f t="shared" si="0"/>
        <v>1.0688836104513064</v>
      </c>
      <c r="I9" s="6"/>
    </row>
    <row r="10" spans="1:13">
      <c r="A10" s="3" t="s">
        <v>38</v>
      </c>
      <c r="B10">
        <v>1095</v>
      </c>
      <c r="D10" s="4"/>
      <c r="E10" s="10">
        <f>AVERAGE(B5:B10)</f>
        <v>1052.5</v>
      </c>
      <c r="F10" s="10">
        <f>(B11-B5)/12</f>
        <v>14.166666666666666</v>
      </c>
      <c r="G10" s="17" t="s">
        <v>108</v>
      </c>
      <c r="H10">
        <f>B10/$E$10</f>
        <v>1.0403800475059382</v>
      </c>
      <c r="I10" s="6"/>
    </row>
    <row r="11" spans="1:13">
      <c r="A11" s="3" t="s">
        <v>39</v>
      </c>
      <c r="B11">
        <v>1150</v>
      </c>
      <c r="D11" s="4">
        <f>(E10+F10)*H5</f>
        <v>993.19081551860654</v>
      </c>
      <c r="E11" s="10">
        <f>$K$4*B11/H5+(1-$K$4)*(E10+F10)</f>
        <v>1192.1100167766444</v>
      </c>
      <c r="F11" s="10">
        <f>$K$5*(E11-E10)+(1-$K$5)*F10</f>
        <v>138.35558327554469</v>
      </c>
      <c r="G11" s="17" t="s">
        <v>109</v>
      </c>
      <c r="H11" s="22">
        <f>$K$6*B11/E11+(1-$K$6)*H5</f>
        <v>0.9643404682195954</v>
      </c>
      <c r="I11" s="6"/>
    </row>
    <row r="12" spans="1:13">
      <c r="A12" s="3" t="s">
        <v>40</v>
      </c>
      <c r="B12">
        <v>1185</v>
      </c>
      <c r="D12" s="4">
        <f t="shared" ref="D12:D22" si="1">(E11+F11)*H6</f>
        <v>1295.7028409059324</v>
      </c>
      <c r="E12" s="10">
        <f t="shared" ref="E12:E22" si="2">$K$4*B12/H6+(1-$K$4)*(E11+F11)</f>
        <v>1245.7941253125207</v>
      </c>
      <c r="F12" s="10">
        <f t="shared" ref="F12:F22" si="3">$K$5*(E12-E11)+(1-$K$5)*F11</f>
        <v>54.53082328327293</v>
      </c>
      <c r="G12" s="17" t="s">
        <v>110</v>
      </c>
      <c r="H12" s="22">
        <f t="shared" ref="H12:H22" si="4">$K$6*B12/E12+(1-$K$6)*H6</f>
        <v>0.95142721639700811</v>
      </c>
      <c r="I12" s="6"/>
    </row>
    <row r="13" spans="1:13">
      <c r="A13" s="3" t="s">
        <v>41</v>
      </c>
      <c r="B13">
        <v>1160</v>
      </c>
      <c r="D13" s="4">
        <f t="shared" si="1"/>
        <v>1247.8177653983387</v>
      </c>
      <c r="E13" s="10">
        <f t="shared" si="2"/>
        <v>1232.1596672666155</v>
      </c>
      <c r="F13" s="10">
        <f t="shared" si="3"/>
        <v>-12.952805232613368</v>
      </c>
      <c r="G13" s="17" t="s">
        <v>111</v>
      </c>
      <c r="H13" s="22">
        <f t="shared" si="4"/>
        <v>0.94161826655751502</v>
      </c>
      <c r="I13" s="6"/>
    </row>
    <row r="14" spans="1:13">
      <c r="A14" s="3" t="s">
        <v>42</v>
      </c>
      <c r="B14">
        <v>1210</v>
      </c>
      <c r="D14" s="4">
        <f t="shared" si="1"/>
        <v>1251.0626232747957</v>
      </c>
      <c r="E14" s="10">
        <f t="shared" si="2"/>
        <v>1189.399389080362</v>
      </c>
      <c r="F14" s="10">
        <f t="shared" si="3"/>
        <v>-42.46220345671717</v>
      </c>
      <c r="G14" s="17" t="s">
        <v>112</v>
      </c>
      <c r="H14" s="22">
        <f t="shared" si="4"/>
        <v>1.017408260368309</v>
      </c>
      <c r="I14" s="6"/>
    </row>
    <row r="15" spans="1:13">
      <c r="A15" s="3" t="s">
        <v>43</v>
      </c>
      <c r="B15">
        <v>1240</v>
      </c>
      <c r="D15" s="4">
        <f t="shared" si="1"/>
        <v>1225.9423599302618</v>
      </c>
      <c r="E15" s="10">
        <f t="shared" si="2"/>
        <v>1156.7334866157155</v>
      </c>
      <c r="F15" s="10">
        <f t="shared" si="3"/>
        <v>-32.763865474567183</v>
      </c>
      <c r="G15" s="17" t="s">
        <v>113</v>
      </c>
      <c r="H15" s="22">
        <f>$K$6*B15/E15+(1-$K$6)*H9</f>
        <v>1.0719531759064327</v>
      </c>
      <c r="I15" s="6"/>
    </row>
    <row r="16" spans="1:13">
      <c r="A16" s="3" t="s">
        <v>44</v>
      </c>
      <c r="B16">
        <v>1285</v>
      </c>
      <c r="D16" s="4">
        <f t="shared" si="1"/>
        <v>1169.3555678380592</v>
      </c>
      <c r="E16" s="10">
        <f t="shared" si="2"/>
        <v>1206.7662838793226</v>
      </c>
      <c r="F16" s="10">
        <f t="shared" si="3"/>
        <v>49.204830636225367</v>
      </c>
      <c r="G16" s="17" t="s">
        <v>114</v>
      </c>
      <c r="H16" s="22">
        <f t="shared" si="4"/>
        <v>1.0645847276306408</v>
      </c>
      <c r="I16" s="6"/>
    </row>
    <row r="17" spans="1:9">
      <c r="A17" s="3" t="s">
        <v>33</v>
      </c>
      <c r="B17">
        <v>1260</v>
      </c>
      <c r="D17" s="4">
        <f t="shared" si="1"/>
        <v>1211.1837726422107</v>
      </c>
      <c r="E17" s="10">
        <f t="shared" si="2"/>
        <v>1293.6774163485466</v>
      </c>
      <c r="F17" s="10">
        <f>$K$5*(E17-E16)+(1-$K$5)*F16</f>
        <v>86.534069450893966</v>
      </c>
      <c r="G17" s="17" t="s">
        <v>103</v>
      </c>
      <c r="H17" s="22">
        <f t="shared" si="4"/>
        <v>0.97387141410423084</v>
      </c>
      <c r="I17" s="6"/>
    </row>
    <row r="18" spans="1:9">
      <c r="A18" s="3" t="s">
        <v>35</v>
      </c>
      <c r="B18">
        <v>1305</v>
      </c>
      <c r="D18" s="4">
        <f t="shared" si="1"/>
        <v>1313.1707719733404</v>
      </c>
      <c r="E18" s="10">
        <f t="shared" si="2"/>
        <v>1373.8146141222417</v>
      </c>
      <c r="F18" s="10">
        <f t="shared" si="3"/>
        <v>80.201166490467102</v>
      </c>
      <c r="G18" s="17" t="s">
        <v>104</v>
      </c>
      <c r="H18" s="22">
        <f t="shared" si="4"/>
        <v>0.94992499914219009</v>
      </c>
      <c r="I18" s="6"/>
    </row>
    <row r="19" spans="1:9">
      <c r="A19" s="3" t="s">
        <v>34</v>
      </c>
      <c r="B19">
        <v>1330</v>
      </c>
      <c r="D19" s="4">
        <f t="shared" si="1"/>
        <v>1369.1278188878109</v>
      </c>
      <c r="E19" s="10">
        <f t="shared" si="2"/>
        <v>1423.0636261810407</v>
      </c>
      <c r="F19" s="10">
        <f t="shared" si="3"/>
        <v>49.558533603115734</v>
      </c>
      <c r="G19" s="17" t="s">
        <v>105</v>
      </c>
      <c r="H19" s="22">
        <f t="shared" si="4"/>
        <v>0.93467347670064238</v>
      </c>
      <c r="I19" s="6"/>
    </row>
    <row r="20" spans="1:9">
      <c r="A20" s="3" t="s">
        <v>45</v>
      </c>
      <c r="B20">
        <v>1365</v>
      </c>
      <c r="D20" s="4">
        <f t="shared" si="1"/>
        <v>1498.2579497658205</v>
      </c>
      <c r="E20" s="10">
        <f t="shared" si="2"/>
        <v>1375.0607681290141</v>
      </c>
      <c r="F20" s="10">
        <f t="shared" si="3"/>
        <v>-47.027244135475144</v>
      </c>
      <c r="G20" s="17" t="s">
        <v>106</v>
      </c>
      <c r="H20" s="22">
        <f t="shared" si="4"/>
        <v>0.99293064967433231</v>
      </c>
      <c r="I20" s="6"/>
    </row>
    <row r="21" spans="1:9">
      <c r="A21" s="3" t="s">
        <v>46</v>
      </c>
      <c r="B21">
        <v>1380</v>
      </c>
      <c r="D21" s="4">
        <f t="shared" si="1"/>
        <v>1423.5897537550857</v>
      </c>
      <c r="E21" s="10">
        <f t="shared" si="2"/>
        <v>1297.7442600890508</v>
      </c>
      <c r="F21" s="10">
        <f t="shared" si="3"/>
        <v>-77.013615400918425</v>
      </c>
      <c r="G21" s="17" t="s">
        <v>107</v>
      </c>
      <c r="H21" s="22">
        <f t="shared" si="4"/>
        <v>1.0634693238531181</v>
      </c>
      <c r="I21" s="6"/>
    </row>
    <row r="22" spans="1:9" ht="15">
      <c r="A22" s="3" t="s">
        <v>47</v>
      </c>
      <c r="B22">
        <v>1415</v>
      </c>
      <c r="C22" s="1" t="s">
        <v>84</v>
      </c>
      <c r="D22" s="4">
        <f t="shared" si="1"/>
        <v>1299.571200885692</v>
      </c>
      <c r="E22" s="10">
        <f t="shared" si="2"/>
        <v>1301.4939463097901</v>
      </c>
      <c r="F22" s="10">
        <f t="shared" si="3"/>
        <v>2.9420532045226722</v>
      </c>
      <c r="G22" s="17" t="s">
        <v>108</v>
      </c>
      <c r="H22" s="22">
        <f t="shared" si="4"/>
        <v>1.0869858517549447</v>
      </c>
      <c r="I22" s="6"/>
    </row>
    <row r="23" spans="1:9" ht="15">
      <c r="A23" s="3" t="s">
        <v>89</v>
      </c>
      <c r="B23">
        <v>1420</v>
      </c>
      <c r="C23">
        <v>1</v>
      </c>
      <c r="D23" s="19">
        <f>($E$22+$F$22*C23)*H23</f>
        <v>1257.9204225341282</v>
      </c>
      <c r="G23" s="17" t="s">
        <v>109</v>
      </c>
      <c r="H23" s="22">
        <f>VLOOKUP(G23,$G$11:$H$22,2,FALSE)</f>
        <v>0.9643404682195954</v>
      </c>
      <c r="I23" s="1" t="s">
        <v>115</v>
      </c>
    </row>
    <row r="24" spans="1:9">
      <c r="A24" s="3" t="s">
        <v>90</v>
      </c>
      <c r="B24">
        <v>1372</v>
      </c>
      <c r="C24">
        <v>2</v>
      </c>
      <c r="D24" s="19">
        <f t="shared" ref="D24:D34" si="5">($E$22+$F$22*C24)*H24</f>
        <v>1243.8750614768226</v>
      </c>
      <c r="G24" s="17" t="s">
        <v>110</v>
      </c>
      <c r="H24" s="22">
        <f t="shared" ref="H24:H34" si="6">VLOOKUP(G24,$G$11:$H$22,2,FALSE)</f>
        <v>0.95142721639700811</v>
      </c>
    </row>
    <row r="25" spans="1:9">
      <c r="A25" s="3" t="s">
        <v>91</v>
      </c>
      <c r="B25">
        <v>1455</v>
      </c>
      <c r="C25">
        <v>3</v>
      </c>
      <c r="D25" s="19">
        <f t="shared" si="5"/>
        <v>1233.821346775012</v>
      </c>
      <c r="G25" s="17" t="s">
        <v>111</v>
      </c>
      <c r="H25" s="22">
        <f t="shared" si="6"/>
        <v>0.94161826655751502</v>
      </c>
    </row>
    <row r="26" spans="1:9">
      <c r="A26" s="16" t="s">
        <v>92</v>
      </c>
      <c r="B26">
        <v>1280</v>
      </c>
      <c r="C26">
        <v>4</v>
      </c>
      <c r="D26" s="19">
        <f t="shared" si="5"/>
        <v>1336.1237687258265</v>
      </c>
      <c r="G26" s="17" t="s">
        <v>112</v>
      </c>
      <c r="H26" s="22">
        <f t="shared" si="6"/>
        <v>1.017408260368309</v>
      </c>
    </row>
    <row r="27" spans="1:9">
      <c r="A27" s="3" t="s">
        <v>93</v>
      </c>
      <c r="B27">
        <v>1110</v>
      </c>
      <c r="C27">
        <v>5</v>
      </c>
      <c r="D27" s="19">
        <f t="shared" si="5"/>
        <v>1410.9092855511444</v>
      </c>
      <c r="G27" s="17" t="s">
        <v>113</v>
      </c>
      <c r="H27" s="22">
        <f t="shared" si="6"/>
        <v>1.0719531759064327</v>
      </c>
    </row>
    <row r="28" spans="1:9">
      <c r="A28" s="3" t="s">
        <v>94</v>
      </c>
      <c r="B28">
        <v>1323</v>
      </c>
      <c r="C28">
        <v>6</v>
      </c>
      <c r="D28" s="19">
        <f t="shared" si="5"/>
        <v>1404.3429678016055</v>
      </c>
      <c r="G28" s="17" t="s">
        <v>114</v>
      </c>
      <c r="H28" s="22">
        <f t="shared" si="6"/>
        <v>1.0645847276306408</v>
      </c>
    </row>
    <row r="29" spans="1:9">
      <c r="A29" s="3" t="s">
        <v>95</v>
      </c>
      <c r="B29">
        <v>1444</v>
      </c>
      <c r="C29">
        <v>7</v>
      </c>
      <c r="D29" s="19">
        <f t="shared" si="5"/>
        <v>1287.5440205434197</v>
      </c>
      <c r="G29" s="17" t="s">
        <v>103</v>
      </c>
      <c r="H29" s="22">
        <f t="shared" si="6"/>
        <v>0.97387141410423084</v>
      </c>
    </row>
    <row r="30" spans="1:9">
      <c r="A30" s="3" t="s">
        <v>96</v>
      </c>
      <c r="B30">
        <v>1200</v>
      </c>
      <c r="C30">
        <v>8</v>
      </c>
      <c r="D30" s="19">
        <f t="shared" si="5"/>
        <v>1258.6794749341527</v>
      </c>
      <c r="G30" s="17" t="s">
        <v>104</v>
      </c>
      <c r="H30" s="22">
        <f t="shared" si="6"/>
        <v>0.94992499914219009</v>
      </c>
    </row>
    <row r="31" spans="1:9">
      <c r="A31" s="3" t="s">
        <v>97</v>
      </c>
      <c r="B31">
        <v>990</v>
      </c>
      <c r="C31">
        <v>9</v>
      </c>
      <c r="D31" s="19">
        <f t="shared" si="5"/>
        <v>1241.2206035779961</v>
      </c>
      <c r="G31" s="17" t="s">
        <v>105</v>
      </c>
      <c r="H31" s="22">
        <f t="shared" si="6"/>
        <v>0.93467347670064238</v>
      </c>
    </row>
    <row r="32" spans="1:9">
      <c r="A32" s="3" t="s">
        <v>98</v>
      </c>
      <c r="B32">
        <v>1170</v>
      </c>
      <c r="C32">
        <v>10</v>
      </c>
      <c r="D32" s="19">
        <f t="shared" si="5"/>
        <v>1321.505777654022</v>
      </c>
      <c r="G32" s="17" t="s">
        <v>106</v>
      </c>
      <c r="H32" s="22">
        <f t="shared" si="6"/>
        <v>0.99293064967433231</v>
      </c>
    </row>
    <row r="33" spans="1:8">
      <c r="A33" s="3" t="s">
        <v>99</v>
      </c>
      <c r="B33">
        <v>940</v>
      </c>
      <c r="C33">
        <v>11</v>
      </c>
      <c r="D33" s="19">
        <f t="shared" si="5"/>
        <v>1418.5155037346888</v>
      </c>
      <c r="G33" s="17" t="s">
        <v>107</v>
      </c>
      <c r="H33" s="22">
        <f t="shared" si="6"/>
        <v>1.0634693238531181</v>
      </c>
    </row>
    <row r="34" spans="1:8">
      <c r="A34" s="3" t="s">
        <v>100</v>
      </c>
      <c r="B34">
        <v>2290</v>
      </c>
      <c r="C34">
        <v>12</v>
      </c>
      <c r="D34" s="19">
        <f t="shared" si="5"/>
        <v>1453.0811482845686</v>
      </c>
      <c r="G34" s="17" t="s">
        <v>108</v>
      </c>
      <c r="H34" s="22">
        <f t="shared" si="6"/>
        <v>1.0869858517549447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82B69-3E7A-4E78-B678-73977ED83AC2}">
  <dimension ref="A1:G15"/>
  <sheetViews>
    <sheetView workbookViewId="0">
      <selection activeCell="G5" sqref="G5"/>
    </sheetView>
  </sheetViews>
  <sheetFormatPr defaultRowHeight="14.25"/>
  <cols>
    <col min="1" max="1" width="19.625" customWidth="1"/>
    <col min="2" max="2" width="16.125" customWidth="1"/>
    <col min="3" max="3" width="15.875" customWidth="1"/>
    <col min="4" max="4" width="13.875" customWidth="1"/>
    <col min="5" max="5" width="13.375" customWidth="1"/>
    <col min="6" max="6" width="15.625" customWidth="1"/>
  </cols>
  <sheetData>
    <row r="1" spans="1:7" ht="15">
      <c r="C1" s="1" t="s">
        <v>63</v>
      </c>
    </row>
    <row r="3" spans="1:7">
      <c r="A3" s="10" t="s">
        <v>64</v>
      </c>
      <c r="B3" s="10" t="s">
        <v>8</v>
      </c>
      <c r="C3" s="10" t="s">
        <v>9</v>
      </c>
      <c r="D3" s="10" t="s">
        <v>18</v>
      </c>
      <c r="E3" s="10" t="s">
        <v>65</v>
      </c>
      <c r="F3" s="10" t="s">
        <v>66</v>
      </c>
    </row>
    <row r="4" spans="1:7">
      <c r="A4" s="13" t="s">
        <v>67</v>
      </c>
      <c r="B4">
        <v>7</v>
      </c>
      <c r="C4">
        <v>0.84</v>
      </c>
      <c r="D4" s="5">
        <f>C4*Inputs!$B$15*SQRT('Scenario Analysis'!B4/30)</f>
        <v>53.60070430880549</v>
      </c>
      <c r="E4" s="5">
        <f>(Inputs!$B$16*'Scenario Analysis'!B4)+'Scenario Analysis'!D4</f>
        <v>333.60070430880546</v>
      </c>
      <c r="F4" s="4">
        <f>Inputs!$B$23+(('Scenario Analysis'!D4-Inputs!$B$20)*Inputs!$B$18)</f>
        <v>852.52674584655631</v>
      </c>
      <c r="G4" t="s">
        <v>79</v>
      </c>
    </row>
    <row r="5" spans="1:7">
      <c r="A5" s="13" t="s">
        <v>68</v>
      </c>
      <c r="B5">
        <v>7</v>
      </c>
      <c r="C5">
        <v>1.28</v>
      </c>
      <c r="D5" s="5">
        <f>C5*Inputs!$B$15*SQRT('Scenario Analysis'!B5/30)</f>
        <v>81.677263708655985</v>
      </c>
      <c r="E5" s="5">
        <f>(Inputs!$B$16*'Scenario Analysis'!B5)+'Scenario Analysis'!D5</f>
        <v>361.67726370865597</v>
      </c>
      <c r="F5" s="4">
        <f>Inputs!$B$23+(('Scenario Analysis'!D5-Inputs!$B$20)*Inputs!$B$18)</f>
        <v>936.75642404610778</v>
      </c>
    </row>
    <row r="6" spans="1:7">
      <c r="A6" s="13" t="s">
        <v>69</v>
      </c>
      <c r="B6">
        <v>14</v>
      </c>
      <c r="C6">
        <v>1.28</v>
      </c>
      <c r="D6" s="5">
        <f>C6*Inputs!$B$15*SQRT('Scenario Analysis'!B6/30)</f>
        <v>115.5090940743051</v>
      </c>
      <c r="E6" s="5">
        <f>(Inputs!$B$16*'Scenario Analysis'!B6)+'Scenario Analysis'!D6</f>
        <v>675.50909407430504</v>
      </c>
      <c r="F6" s="4">
        <f>Inputs!$B$23+(('Scenario Analysis'!D6-Inputs!$B$20)*Inputs!$B$18)</f>
        <v>1038.2519151430552</v>
      </c>
    </row>
    <row r="7" spans="1:7">
      <c r="A7" s="13" t="s">
        <v>70</v>
      </c>
      <c r="B7">
        <v>14</v>
      </c>
      <c r="C7">
        <v>1.65</v>
      </c>
      <c r="D7" s="5">
        <f>C7*Inputs!$B$15*SQRT('Scenario Analysis'!B7/30)</f>
        <v>148.8984415801589</v>
      </c>
      <c r="E7" s="5">
        <f>(Inputs!$B$16*'Scenario Analysis'!B7)+'Scenario Analysis'!D7</f>
        <v>708.89844158015887</v>
      </c>
      <c r="F7" s="4">
        <f>Inputs!$B$23+(('Scenario Analysis'!D7-Inputs!$B$20)*Inputs!$B$18)</f>
        <v>1138.4199576606165</v>
      </c>
    </row>
    <row r="8" spans="1:7">
      <c r="A8" s="13" t="s">
        <v>71</v>
      </c>
      <c r="B8">
        <v>21</v>
      </c>
      <c r="C8">
        <v>1.65</v>
      </c>
      <c r="D8" s="5">
        <f>C8*Inputs!$B$15*SQRT('Scenario Analysis'!B8/30)</f>
        <v>182.36260268349977</v>
      </c>
      <c r="E8" s="5">
        <f>(Inputs!$B$16*'Scenario Analysis'!B8)+'Scenario Analysis'!D8</f>
        <v>1022.3626026834997</v>
      </c>
      <c r="F8" s="4">
        <f>Inputs!$B$23+(('Scenario Analysis'!D8-Inputs!$B$20)*Inputs!$B$18)</f>
        <v>1238.8124409706393</v>
      </c>
    </row>
    <row r="9" spans="1:7">
      <c r="A9" s="13" t="s">
        <v>72</v>
      </c>
      <c r="B9">
        <v>21</v>
      </c>
      <c r="C9">
        <v>2.0499999999999998</v>
      </c>
      <c r="D9" s="5">
        <f>C9*Inputs!$B$15*SQRT('Scenario Analysis'!B9/30)</f>
        <v>226.5717184855603</v>
      </c>
      <c r="E9" s="5">
        <f>(Inputs!$B$16*'Scenario Analysis'!B9)+'Scenario Analysis'!D9</f>
        <v>1066.5717184855603</v>
      </c>
      <c r="F9" s="4">
        <f>Inputs!$B$23+(('Scenario Analysis'!D9-Inputs!$B$20)*Inputs!$B$18)</f>
        <v>1371.4397883768206</v>
      </c>
    </row>
    <row r="10" spans="1:7">
      <c r="A10" s="13" t="s">
        <v>73</v>
      </c>
      <c r="B10">
        <v>10</v>
      </c>
      <c r="C10">
        <v>1.65</v>
      </c>
      <c r="D10" s="5">
        <f>C10*Inputs!$B$15*SQRT('Scenario Analysis'!B10/30)</f>
        <v>125.84215142391676</v>
      </c>
      <c r="E10" s="5">
        <f>(Inputs!$B$16*'Scenario Analysis'!B10)+'Scenario Analysis'!D10</f>
        <v>525.84215142391679</v>
      </c>
      <c r="F10" s="4">
        <f>Inputs!$B$23+(('Scenario Analysis'!D10-Inputs!$B$20)*Inputs!$B$18)</f>
        <v>1069.2510871918901</v>
      </c>
    </row>
    <row r="11" spans="1:7">
      <c r="A11" s="13" t="s">
        <v>74</v>
      </c>
      <c r="B11">
        <v>28</v>
      </c>
      <c r="C11">
        <v>1.65</v>
      </c>
      <c r="D11" s="5">
        <f>C11*Inputs!$B$15*SQRT('Scenario Analysis'!B11/30)</f>
        <v>210.57419549887871</v>
      </c>
      <c r="E11" s="5">
        <f>(Inputs!$B$16*'Scenario Analysis'!B11)+'Scenario Analysis'!D11</f>
        <v>1330.5741954988787</v>
      </c>
      <c r="F11" s="4">
        <f>Inputs!$B$23+(('Scenario Analysis'!D11-Inputs!$B$20)*Inputs!$B$18)</f>
        <v>1323.4472194167761</v>
      </c>
    </row>
    <row r="12" spans="1:7">
      <c r="A12" s="13" t="s">
        <v>75</v>
      </c>
      <c r="B12">
        <v>14</v>
      </c>
      <c r="C12">
        <v>2.0499999999999998</v>
      </c>
      <c r="D12" s="5">
        <f>C12*Inputs!$B$15*SQRT('Scenario Analysis'!B12/30)</f>
        <v>184.99503347837921</v>
      </c>
      <c r="E12" s="5">
        <f>(Inputs!$B$16*'Scenario Analysis'!B12)+'Scenario Analysis'!D12</f>
        <v>744.99503347837924</v>
      </c>
      <c r="F12" s="4">
        <f>Inputs!$B$23+(('Scenario Analysis'!D12-Inputs!$B$20)*Inputs!$B$18)</f>
        <v>1246.7097333552774</v>
      </c>
    </row>
    <row r="13" spans="1:7">
      <c r="A13" s="13" t="s">
        <v>76</v>
      </c>
      <c r="B13">
        <v>14</v>
      </c>
      <c r="C13">
        <v>0.84</v>
      </c>
      <c r="D13" s="5">
        <f>C13*Inputs!$B$15*SQRT('Scenario Analysis'!B13/30)</f>
        <v>75.802842986262704</v>
      </c>
      <c r="E13" s="5">
        <f>(Inputs!$B$16*'Scenario Analysis'!B13)+'Scenario Analysis'!D13</f>
        <v>635.8028429862627</v>
      </c>
      <c r="F13" s="4">
        <f>Inputs!$B$23+(('Scenario Analysis'!D13-Inputs!$B$20)*Inputs!$B$18)</f>
        <v>919.13316187892792</v>
      </c>
    </row>
    <row r="14" spans="1:7">
      <c r="A14" s="13" t="s">
        <v>77</v>
      </c>
      <c r="B14">
        <v>7</v>
      </c>
      <c r="C14">
        <v>2.0499999999999998</v>
      </c>
      <c r="D14" s="5">
        <f>C14*Inputs!$B$15*SQRT('Scenario Analysis'!B14/30)</f>
        <v>130.81124265839435</v>
      </c>
      <c r="E14" s="5">
        <f>(Inputs!$B$16*'Scenario Analysis'!B14)+'Scenario Analysis'!D14</f>
        <v>410.81124265839435</v>
      </c>
      <c r="F14" s="4">
        <f>Inputs!$B$23+(('Scenario Analysis'!D14-Inputs!$B$20)*Inputs!$B$18)</f>
        <v>1084.1583608953229</v>
      </c>
    </row>
    <row r="15" spans="1:7">
      <c r="A15" s="13" t="s">
        <v>78</v>
      </c>
      <c r="B15">
        <v>28</v>
      </c>
      <c r="C15">
        <v>0.84</v>
      </c>
      <c r="D15" s="5">
        <f>C15*Inputs!$B$15*SQRT('Scenario Analysis'!B15/30)</f>
        <v>107.20140861761098</v>
      </c>
      <c r="E15" s="5">
        <f>(Inputs!$B$16*'Scenario Analysis'!B15)+'Scenario Analysis'!D15</f>
        <v>1227.2014086176109</v>
      </c>
      <c r="F15" s="4">
        <f>Inputs!$B$23+(('Scenario Analysis'!D15-Inputs!$B$20)*Inputs!$B$18)</f>
        <v>1013.3288587729728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</vt:lpstr>
      <vt:lpstr>Demand_MA</vt:lpstr>
      <vt:lpstr>Demand_SES</vt:lpstr>
      <vt:lpstr>Demand_DES</vt:lpstr>
      <vt:lpstr>Demand_TES</vt:lpstr>
      <vt:lpstr>Scenario Analysis</vt:lpstr>
    </vt:vector>
  </TitlesOfParts>
  <Company>University of Alberta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Mannat Kaur</dc:creator>
  <cp:lastModifiedBy>Mannat Kaur</cp:lastModifiedBy>
  <dcterms:created xsi:type="dcterms:W3CDTF">2026-04-08T20:29:56Z</dcterms:created>
  <dcterms:modified xsi:type="dcterms:W3CDTF">2026-04-13T21:35:38Z</dcterms:modified>
</cp:coreProperties>
</file>