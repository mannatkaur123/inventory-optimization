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armanna\Downloads\"/>
    </mc:Choice>
  </mc:AlternateContent>
  <xr:revisionPtr revIDLastSave="0" documentId="8_{73298EC5-7743-40D5-A73F-464A0F0EE979}" xr6:coauthVersionLast="47" xr6:coauthVersionMax="47" xr10:uidLastSave="{00000000-0000-0000-0000-000000000000}"/>
  <bookViews>
    <workbookView xWindow="-120" yWindow="-120" windowWidth="29040" windowHeight="15720" activeTab="3" xr2:uid="{6D2E62C2-3AB5-45C6-B9EA-177725A8F96E}"/>
  </bookViews>
  <sheets>
    <sheet name="Inputs" sheetId="1" r:id="rId1"/>
    <sheet name="Demand_MA" sheetId="2" r:id="rId2"/>
    <sheet name="Demand_SES" sheetId="4" r:id="rId3"/>
    <sheet name="Scenario Analysis" sheetId="3" r:id="rId4"/>
  </sheets>
  <definedNames>
    <definedName name="solver_adj" localSheetId="2" hidden="1">Demand_SES!$I$4</definedName>
    <definedName name="solver_cvg" localSheetId="2" hidden="1">0.0001</definedName>
    <definedName name="solver_drv" localSheetId="2" hidden="1">1</definedName>
    <definedName name="solver_eng" localSheetId="2" hidden="1">1</definedName>
    <definedName name="solver_est" localSheetId="2" hidden="1">1</definedName>
    <definedName name="solver_itr" localSheetId="2" hidden="1">2147483647</definedName>
    <definedName name="solver_lhs1" localSheetId="2" hidden="1">Demand_SES!$I$4</definedName>
    <definedName name="solver_lhs2" localSheetId="2" hidden="1">Demand_SES!$I$4</definedName>
    <definedName name="solver_mip" localSheetId="2" hidden="1">2147483647</definedName>
    <definedName name="solver_mni" localSheetId="2" hidden="1">30</definedName>
    <definedName name="solver_mrt" localSheetId="2" hidden="1">0.075</definedName>
    <definedName name="solver_msl" localSheetId="2" hidden="1">2</definedName>
    <definedName name="solver_neg" localSheetId="2" hidden="1">1</definedName>
    <definedName name="solver_nod" localSheetId="2" hidden="1">2147483647</definedName>
    <definedName name="solver_num" localSheetId="2" hidden="1">2</definedName>
    <definedName name="solver_nwt" localSheetId="2" hidden="1">1</definedName>
    <definedName name="solver_opt" localSheetId="2" hidden="1">Demand_SES!$I$8</definedName>
    <definedName name="solver_pre" localSheetId="2" hidden="1">0.000001</definedName>
    <definedName name="solver_rbv" localSheetId="2" hidden="1">1</definedName>
    <definedName name="solver_rel1" localSheetId="2" hidden="1">1</definedName>
    <definedName name="solver_rel2" localSheetId="2" hidden="1">3</definedName>
    <definedName name="solver_rhs1" localSheetId="2" hidden="1">0.95</definedName>
    <definedName name="solver_rhs2" localSheetId="2" hidden="1">0.05</definedName>
    <definedName name="solver_rlx" localSheetId="2" hidden="1">2</definedName>
    <definedName name="solver_rsd" localSheetId="2" hidden="1">0</definedName>
    <definedName name="solver_scl" localSheetId="2" hidden="1">1</definedName>
    <definedName name="solver_sho" localSheetId="2" hidden="1">2</definedName>
    <definedName name="solver_ssz" localSheetId="2" hidden="1">100</definedName>
    <definedName name="solver_tim" localSheetId="2" hidden="1">2147483647</definedName>
    <definedName name="solver_tol" localSheetId="2" hidden="1">0.01</definedName>
    <definedName name="solver_typ" localSheetId="2" hidden="1">2</definedName>
    <definedName name="solver_val" localSheetId="2" hidden="1">0</definedName>
    <definedName name="solver_ver" localSheetId="2" hidden="1">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5" i="3" l="1"/>
  <c r="F6" i="3"/>
  <c r="F7" i="3"/>
  <c r="F8" i="3"/>
  <c r="F9" i="3"/>
  <c r="F10" i="3"/>
  <c r="F11" i="3"/>
  <c r="F12" i="3"/>
  <c r="F13" i="3"/>
  <c r="F14" i="3"/>
  <c r="F15" i="3"/>
  <c r="F4" i="3"/>
  <c r="E5" i="3"/>
  <c r="E6" i="3"/>
  <c r="E7" i="3"/>
  <c r="E8" i="3"/>
  <c r="E9" i="3"/>
  <c r="E10" i="3"/>
  <c r="E11" i="3"/>
  <c r="E12" i="3"/>
  <c r="E13" i="3"/>
  <c r="E14" i="3"/>
  <c r="E15" i="3"/>
  <c r="E4" i="3"/>
  <c r="D5" i="3"/>
  <c r="D6" i="3"/>
  <c r="D7" i="3"/>
  <c r="D8" i="3"/>
  <c r="D9" i="3"/>
  <c r="D10" i="3"/>
  <c r="D11" i="3"/>
  <c r="D12" i="3"/>
  <c r="D13" i="3"/>
  <c r="D14" i="3"/>
  <c r="D15" i="3"/>
  <c r="D4" i="3"/>
  <c r="B25" i="1"/>
  <c r="B24" i="1"/>
  <c r="B23" i="1"/>
  <c r="B22" i="1"/>
  <c r="B21" i="1"/>
  <c r="B20" i="1"/>
  <c r="B19" i="1"/>
  <c r="B18" i="1"/>
  <c r="B17" i="1"/>
  <c r="B16" i="1"/>
  <c r="B15" i="1"/>
  <c r="B14" i="1"/>
  <c r="C6" i="4"/>
  <c r="C7" i="4" s="1"/>
  <c r="H5" i="2"/>
  <c r="C22" i="2"/>
  <c r="D22" i="2" s="1"/>
  <c r="E22" i="2" s="1"/>
  <c r="C9" i="2"/>
  <c r="D9" i="2" s="1"/>
  <c r="E9" i="2" s="1"/>
  <c r="C10" i="2"/>
  <c r="D10" i="2" s="1"/>
  <c r="E10" i="2" s="1"/>
  <c r="C11" i="2"/>
  <c r="D11" i="2" s="1"/>
  <c r="E11" i="2" s="1"/>
  <c r="C12" i="2"/>
  <c r="D12" i="2" s="1"/>
  <c r="E12" i="2" s="1"/>
  <c r="C13" i="2"/>
  <c r="D13" i="2" s="1"/>
  <c r="E13" i="2" s="1"/>
  <c r="C14" i="2"/>
  <c r="D14" i="2" s="1"/>
  <c r="E14" i="2" s="1"/>
  <c r="C15" i="2"/>
  <c r="D15" i="2" s="1"/>
  <c r="E15" i="2" s="1"/>
  <c r="C16" i="2"/>
  <c r="D16" i="2" s="1"/>
  <c r="E16" i="2" s="1"/>
  <c r="C17" i="2"/>
  <c r="D17" i="2" s="1"/>
  <c r="E17" i="2" s="1"/>
  <c r="C18" i="2"/>
  <c r="D18" i="2" s="1"/>
  <c r="E18" i="2" s="1"/>
  <c r="C19" i="2"/>
  <c r="D19" i="2" s="1"/>
  <c r="E19" i="2" s="1"/>
  <c r="C20" i="2"/>
  <c r="D20" i="2" s="1"/>
  <c r="E20" i="2" s="1"/>
  <c r="C21" i="2"/>
  <c r="D21" i="2" s="1"/>
  <c r="E21" i="2" s="1"/>
  <c r="C8" i="2"/>
  <c r="D8" i="2" s="1"/>
  <c r="E8" i="2" s="1"/>
  <c r="D7" i="4" l="1"/>
  <c r="C8" i="4"/>
  <c r="D6" i="4"/>
  <c r="E6" i="4" s="1"/>
  <c r="F6" i="4" s="1"/>
  <c r="H6" i="2"/>
  <c r="H7" i="2" s="1"/>
  <c r="E7" i="4" l="1"/>
  <c r="C9" i="4"/>
  <c r="D8" i="4"/>
  <c r="E8" i="4" s="1"/>
  <c r="F8" i="4" s="1"/>
  <c r="F7" i="4" l="1"/>
  <c r="D9" i="4"/>
  <c r="E9" i="4" s="1"/>
  <c r="F9" i="4" s="1"/>
  <c r="C10" i="4"/>
  <c r="D10" i="4" l="1"/>
  <c r="E10" i="4" s="1"/>
  <c r="F10" i="4" s="1"/>
  <c r="C11" i="4"/>
  <c r="D11" i="4" l="1"/>
  <c r="E11" i="4" s="1"/>
  <c r="F11" i="4" s="1"/>
  <c r="C12" i="4"/>
  <c r="D12" i="4" l="1"/>
  <c r="C13" i="4"/>
  <c r="E12" i="4" l="1"/>
  <c r="D13" i="4"/>
  <c r="E13" i="4" s="1"/>
  <c r="F13" i="4" s="1"/>
  <c r="C14" i="4"/>
  <c r="F12" i="4" l="1"/>
  <c r="D14" i="4"/>
  <c r="E14" i="4" s="1"/>
  <c r="F14" i="4" s="1"/>
  <c r="C15" i="4"/>
  <c r="D15" i="4" l="1"/>
  <c r="E15" i="4" s="1"/>
  <c r="F15" i="4" s="1"/>
  <c r="C16" i="4"/>
  <c r="D16" i="4" l="1"/>
  <c r="E16" i="4" s="1"/>
  <c r="F16" i="4" s="1"/>
  <c r="C17" i="4"/>
  <c r="D17" i="4" l="1"/>
  <c r="E17" i="4" s="1"/>
  <c r="F17" i="4" s="1"/>
  <c r="C18" i="4"/>
  <c r="D18" i="4" l="1"/>
  <c r="E18" i="4" s="1"/>
  <c r="F18" i="4" s="1"/>
  <c r="C19" i="4"/>
  <c r="D19" i="4" l="1"/>
  <c r="E19" i="4" s="1"/>
  <c r="F19" i="4" s="1"/>
  <c r="C20" i="4"/>
  <c r="D20" i="4" l="1"/>
  <c r="E20" i="4" s="1"/>
  <c r="F20" i="4" s="1"/>
  <c r="C21" i="4"/>
  <c r="D21" i="4" l="1"/>
  <c r="E21" i="4" s="1"/>
  <c r="F21" i="4" s="1"/>
  <c r="C22" i="4"/>
  <c r="D22" i="4" s="1"/>
  <c r="E22" i="4" l="1"/>
  <c r="I7" i="4"/>
  <c r="I8" i="4" s="1"/>
  <c r="F22" i="4" l="1"/>
  <c r="I6" i="4" s="1"/>
  <c r="I5" i="4"/>
</calcChain>
</file>

<file path=xl/sharedStrings.xml><?xml version="1.0" encoding="utf-8"?>
<sst xmlns="http://schemas.openxmlformats.org/spreadsheetml/2006/main" count="105" uniqueCount="80">
  <si>
    <t>Inputs and Inventory Calculations</t>
  </si>
  <si>
    <t>Input</t>
  </si>
  <si>
    <t>Value</t>
  </si>
  <si>
    <t>Item/SKU</t>
  </si>
  <si>
    <t>Sample SKU</t>
  </si>
  <si>
    <t>Unit Cost ($)</t>
  </si>
  <si>
    <t>Ordering cost per order</t>
  </si>
  <si>
    <t>Annual holding rate</t>
  </si>
  <si>
    <t>Lead Time (days)</t>
  </si>
  <si>
    <t>Service Factor (z)</t>
  </si>
  <si>
    <t>Calculated Metric</t>
  </si>
  <si>
    <t>Result</t>
  </si>
  <si>
    <t>Average Monthly Demand</t>
  </si>
  <si>
    <t>Monthly demand std dev</t>
  </si>
  <si>
    <t>Average daily demand</t>
  </si>
  <si>
    <t>Annual demand</t>
  </si>
  <si>
    <t>Holding cost per unit/year</t>
  </si>
  <si>
    <t>Lead time demand</t>
  </si>
  <si>
    <t>Safety Stock</t>
  </si>
  <si>
    <t>Reorder point</t>
  </si>
  <si>
    <t>EOQ</t>
  </si>
  <si>
    <t>Annual ordering cost</t>
  </si>
  <si>
    <t>Annual holding cost</t>
  </si>
  <si>
    <t>Total annual cost</t>
  </si>
  <si>
    <t>3-Month-Moving-Average</t>
  </si>
  <si>
    <t>Month</t>
  </si>
  <si>
    <t>Actual Demand</t>
  </si>
  <si>
    <t>Forecast</t>
  </si>
  <si>
    <t>Abs Error</t>
  </si>
  <si>
    <t>Abs % Error</t>
  </si>
  <si>
    <t>Jan-24</t>
  </si>
  <si>
    <t>Feb-24</t>
  </si>
  <si>
    <t>Mar-24</t>
  </si>
  <si>
    <t>Jan-25</t>
  </si>
  <si>
    <t>Mar-25</t>
  </si>
  <si>
    <t>Feb-25</t>
  </si>
  <si>
    <t>Apr-24</t>
  </si>
  <si>
    <t>May-24</t>
  </si>
  <si>
    <t>Jun-24</t>
  </si>
  <si>
    <t>Jul-24</t>
  </si>
  <si>
    <t>Aug-24</t>
  </si>
  <si>
    <t>Sep-24</t>
  </si>
  <si>
    <t>Oct-24</t>
  </si>
  <si>
    <t>Nov-24</t>
  </si>
  <si>
    <t>Dec-24</t>
  </si>
  <si>
    <t>Apr-25</t>
  </si>
  <si>
    <t>May-25</t>
  </si>
  <si>
    <t>Jun-25</t>
  </si>
  <si>
    <t>Forecast Summary</t>
  </si>
  <si>
    <t>Next month forecast</t>
  </si>
  <si>
    <t>Average APE</t>
  </si>
  <si>
    <t>MAPE</t>
  </si>
  <si>
    <t>Error</t>
  </si>
  <si>
    <t>Simple Exponential Smoothing</t>
  </si>
  <si>
    <t>SES</t>
  </si>
  <si>
    <t>LS</t>
  </si>
  <si>
    <t>% Error</t>
  </si>
  <si>
    <t>MAD</t>
  </si>
  <si>
    <t>MSE</t>
  </si>
  <si>
    <t>RMSE</t>
  </si>
  <si>
    <t>Notes</t>
  </si>
  <si>
    <t>1. Blue cell represents the decision variable in the Solver</t>
  </si>
  <si>
    <t>2. Yellow cell represents the objective cell (minimizing in this case)</t>
  </si>
  <si>
    <t>Scenario Analysis</t>
  </si>
  <si>
    <t>Scenario</t>
  </si>
  <si>
    <t>Reorder Point</t>
  </si>
  <si>
    <t>Total Annual Cost</t>
  </si>
  <si>
    <t>Lean</t>
  </si>
  <si>
    <t>Lean+</t>
  </si>
  <si>
    <t>Balanced</t>
  </si>
  <si>
    <t>Balanced+</t>
  </si>
  <si>
    <t>Protective</t>
  </si>
  <si>
    <t>Protective+</t>
  </si>
  <si>
    <t>Fast Replenishment</t>
  </si>
  <si>
    <t>Long Lead Time</t>
  </si>
  <si>
    <t>High Service</t>
  </si>
  <si>
    <t>Low Service</t>
  </si>
  <si>
    <t>Short LT + High SL</t>
  </si>
  <si>
    <t>Long LT +Low SL</t>
  </si>
  <si>
    <t>&lt;- Best scenario cost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</si>
</sst>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$&quot;* #,##0.00_-;\-&quot;$&quot;* #,##0.00_-;_-&quot;$&quot;* &quot;-&quot;??_-;_-@_-"/>
    <numFmt numFmtId="168" formatCode="0.000"/>
  </numFmts>
  <fonts count="6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C00000"/>
      <name val="Aptos Narrow"/>
      <family val="2"/>
      <scheme val="minor"/>
    </font>
    <font>
      <sz val="11"/>
      <color theme="4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4">
    <xf numFmtId="0" fontId="0" fillId="0" borderId="0" xfId="0"/>
    <xf numFmtId="0" fontId="2" fillId="0" borderId="0" xfId="0" applyFont="1"/>
    <xf numFmtId="44" fontId="0" fillId="0" borderId="0" xfId="1" applyFont="1"/>
    <xf numFmtId="49" fontId="0" fillId="0" borderId="0" xfId="0" applyNumberFormat="1"/>
    <xf numFmtId="168" fontId="0" fillId="0" borderId="0" xfId="0" applyNumberFormat="1"/>
    <xf numFmtId="2" fontId="0" fillId="0" borderId="0" xfId="0" applyNumberFormat="1"/>
    <xf numFmtId="10" fontId="0" fillId="0" borderId="0" xfId="2" applyNumberFormat="1" applyFont="1"/>
    <xf numFmtId="49" fontId="2" fillId="0" borderId="0" xfId="0" applyNumberFormat="1" applyFont="1"/>
    <xf numFmtId="10" fontId="0" fillId="0" borderId="0" xfId="0" applyNumberFormat="1"/>
    <xf numFmtId="49" fontId="4" fillId="0" borderId="0" xfId="0" applyNumberFormat="1" applyFont="1"/>
    <xf numFmtId="0" fontId="4" fillId="0" borderId="0" xfId="0" applyFont="1"/>
    <xf numFmtId="0" fontId="0" fillId="2" borderId="0" xfId="0" applyFill="1"/>
    <xf numFmtId="0" fontId="0" fillId="3" borderId="0" xfId="0" applyFill="1"/>
    <xf numFmtId="0" fontId="5" fillId="0" borderId="0" xfId="0" applyFont="1"/>
  </cellXfs>
  <cellStyles count="3">
    <cellStyle name="Currency" xfId="1" builtinId="4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13ECA2-56DD-47F8-B8A1-BAA17FC806D8}">
  <dimension ref="A2:C25"/>
  <sheetViews>
    <sheetView workbookViewId="0">
      <selection activeCell="E24" sqref="E24"/>
    </sheetView>
  </sheetViews>
  <sheetFormatPr defaultRowHeight="14.25"/>
  <cols>
    <col min="1" max="1" width="22.375" customWidth="1"/>
    <col min="2" max="2" width="14" customWidth="1"/>
  </cols>
  <sheetData>
    <row r="2" spans="1:3" ht="15">
      <c r="C2" s="1" t="s">
        <v>0</v>
      </c>
    </row>
    <row r="4" spans="1:3">
      <c r="A4" s="10" t="s">
        <v>1</v>
      </c>
      <c r="B4" s="10" t="s">
        <v>2</v>
      </c>
    </row>
    <row r="5" spans="1:3">
      <c r="A5" t="s">
        <v>3</v>
      </c>
      <c r="B5" t="s">
        <v>4</v>
      </c>
    </row>
    <row r="6" spans="1:3">
      <c r="A6" t="s">
        <v>5</v>
      </c>
      <c r="B6" s="2">
        <v>15</v>
      </c>
    </row>
    <row r="7" spans="1:3">
      <c r="A7" t="s">
        <v>6</v>
      </c>
      <c r="B7" s="2">
        <v>60</v>
      </c>
    </row>
    <row r="8" spans="1:3">
      <c r="A8" t="s">
        <v>7</v>
      </c>
      <c r="B8">
        <v>0.2</v>
      </c>
    </row>
    <row r="9" spans="1:3">
      <c r="A9" t="s">
        <v>8</v>
      </c>
      <c r="B9">
        <v>14</v>
      </c>
    </row>
    <row r="10" spans="1:3">
      <c r="A10" t="s">
        <v>9</v>
      </c>
      <c r="B10">
        <v>1.65</v>
      </c>
    </row>
    <row r="13" spans="1:3">
      <c r="A13" s="10" t="s">
        <v>10</v>
      </c>
      <c r="B13" s="10" t="s">
        <v>11</v>
      </c>
    </row>
    <row r="14" spans="1:3">
      <c r="A14" t="s">
        <v>12</v>
      </c>
      <c r="B14" s="5">
        <f>AVERAGE(Demand_MA!B5:B22)</f>
        <v>1200</v>
      </c>
    </row>
    <row r="15" spans="1:3">
      <c r="A15" t="s">
        <v>13</v>
      </c>
      <c r="B15" s="5">
        <f>132.1</f>
        <v>132.1</v>
      </c>
    </row>
    <row r="16" spans="1:3">
      <c r="A16" t="s">
        <v>14</v>
      </c>
      <c r="B16" s="5">
        <f>B14/30</f>
        <v>40</v>
      </c>
    </row>
    <row r="17" spans="1:2">
      <c r="A17" t="s">
        <v>15</v>
      </c>
      <c r="B17" s="5">
        <f>B14*12</f>
        <v>14400</v>
      </c>
    </row>
    <row r="18" spans="1:2">
      <c r="A18" t="s">
        <v>16</v>
      </c>
      <c r="B18" s="5">
        <f>B6*B8</f>
        <v>3</v>
      </c>
    </row>
    <row r="19" spans="1:2">
      <c r="A19" t="s">
        <v>17</v>
      </c>
      <c r="B19" s="5">
        <f>B16*B9</f>
        <v>560</v>
      </c>
    </row>
    <row r="20" spans="1:2">
      <c r="A20" t="s">
        <v>18</v>
      </c>
      <c r="B20" s="5">
        <f>B10*B15*SQRT(B9/30)</f>
        <v>148.8984415801589</v>
      </c>
    </row>
    <row r="21" spans="1:2">
      <c r="A21" t="s">
        <v>19</v>
      </c>
      <c r="B21" s="5">
        <f>B19+B20</f>
        <v>708.89844158015887</v>
      </c>
    </row>
    <row r="22" spans="1:2">
      <c r="A22" t="s">
        <v>20</v>
      </c>
      <c r="B22" s="5">
        <f>SQRT((2*B17*B7)/B18)</f>
        <v>758.94663844041099</v>
      </c>
    </row>
    <row r="23" spans="1:2">
      <c r="A23" t="s">
        <v>21</v>
      </c>
      <c r="B23" s="5">
        <f>(B17/B22)*B7</f>
        <v>1138.4199576606165</v>
      </c>
    </row>
    <row r="24" spans="1:2">
      <c r="A24" t="s">
        <v>22</v>
      </c>
      <c r="B24" s="5">
        <f>((B22/2)+B20)*B18</f>
        <v>1585.1152824010933</v>
      </c>
    </row>
    <row r="25" spans="1:2">
      <c r="A25" t="s">
        <v>23</v>
      </c>
      <c r="B25" s="5">
        <f>B23+B24</f>
        <v>2723.5352400617098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FAE75B-AFA9-44EC-BDC5-BD4964F4B91B}">
  <dimension ref="A2:H26"/>
  <sheetViews>
    <sheetView workbookViewId="0">
      <selection activeCell="C31" sqref="C31"/>
    </sheetView>
  </sheetViews>
  <sheetFormatPr defaultRowHeight="14.25"/>
  <cols>
    <col min="1" max="1" width="13" style="3" customWidth="1"/>
    <col min="2" max="2" width="15" customWidth="1"/>
    <col min="3" max="3" width="12.625" customWidth="1"/>
    <col min="4" max="4" width="12.25" customWidth="1"/>
    <col min="5" max="5" width="11.75" customWidth="1"/>
    <col min="7" max="7" width="17.875" customWidth="1"/>
  </cols>
  <sheetData>
    <row r="2" spans="1:8" ht="15">
      <c r="C2" s="1" t="s">
        <v>24</v>
      </c>
    </row>
    <row r="4" spans="1:8" ht="15">
      <c r="A4" s="9" t="s">
        <v>25</v>
      </c>
      <c r="B4" s="10" t="s">
        <v>26</v>
      </c>
      <c r="C4" s="10" t="s">
        <v>27</v>
      </c>
      <c r="D4" s="10" t="s">
        <v>28</v>
      </c>
      <c r="E4" s="10" t="s">
        <v>29</v>
      </c>
      <c r="G4" s="1" t="s">
        <v>48</v>
      </c>
    </row>
    <row r="5" spans="1:8">
      <c r="A5" s="3" t="s">
        <v>30</v>
      </c>
      <c r="B5">
        <v>980</v>
      </c>
      <c r="G5" t="s">
        <v>49</v>
      </c>
      <c r="H5">
        <f>AVERAGE(B20:B22)</f>
        <v>1386.6666666666667</v>
      </c>
    </row>
    <row r="6" spans="1:8">
      <c r="A6" s="3" t="s">
        <v>31</v>
      </c>
      <c r="B6">
        <v>1025</v>
      </c>
      <c r="G6" t="s">
        <v>50</v>
      </c>
      <c r="H6" s="8">
        <f>AVERAGE(E8:E22)</f>
        <v>4.1711757079456582E-2</v>
      </c>
    </row>
    <row r="7" spans="1:8">
      <c r="A7" s="3" t="s">
        <v>32</v>
      </c>
      <c r="B7">
        <v>1010</v>
      </c>
      <c r="G7" t="s">
        <v>51</v>
      </c>
      <c r="H7" s="8">
        <f>H6</f>
        <v>4.1711757079456582E-2</v>
      </c>
    </row>
    <row r="8" spans="1:8">
      <c r="A8" s="3" t="s">
        <v>36</v>
      </c>
      <c r="B8">
        <v>1080</v>
      </c>
      <c r="C8" s="5">
        <f>AVERAGE(B5:B7)</f>
        <v>1005</v>
      </c>
      <c r="D8" s="5">
        <f>ABS(B8-C8)</f>
        <v>75</v>
      </c>
      <c r="E8" s="6">
        <f>D8/B8</f>
        <v>6.9444444444444448E-2</v>
      </c>
    </row>
    <row r="9" spans="1:8">
      <c r="A9" s="3" t="s">
        <v>37</v>
      </c>
      <c r="B9">
        <v>1125</v>
      </c>
      <c r="C9" s="5">
        <f>AVERAGE(B6:B8)</f>
        <v>1038.3333333333333</v>
      </c>
      <c r="D9" s="5">
        <f>ABS(B9-C9)</f>
        <v>86.666666666666742</v>
      </c>
      <c r="E9" s="6">
        <f>D9/B9</f>
        <v>7.7037037037037098E-2</v>
      </c>
    </row>
    <row r="10" spans="1:8">
      <c r="A10" s="3" t="s">
        <v>38</v>
      </c>
      <c r="B10">
        <v>1095</v>
      </c>
      <c r="C10" s="5">
        <f>AVERAGE(B7:B9)</f>
        <v>1071.6666666666667</v>
      </c>
      <c r="D10" s="5">
        <f>ABS(B10-C10)</f>
        <v>23.333333333333258</v>
      </c>
      <c r="E10" s="6">
        <f>D10/B10</f>
        <v>2.1308980213089732E-2</v>
      </c>
    </row>
    <row r="11" spans="1:8">
      <c r="A11" s="3" t="s">
        <v>39</v>
      </c>
      <c r="B11">
        <v>1150</v>
      </c>
      <c r="C11" s="5">
        <f>AVERAGE(B8:B10)</f>
        <v>1100</v>
      </c>
      <c r="D11" s="5">
        <f>ABS(B11-C11)</f>
        <v>50</v>
      </c>
      <c r="E11" s="6">
        <f>D11/B11</f>
        <v>4.3478260869565216E-2</v>
      </c>
    </row>
    <row r="12" spans="1:8">
      <c r="A12" s="3" t="s">
        <v>40</v>
      </c>
      <c r="B12">
        <v>1185</v>
      </c>
      <c r="C12" s="5">
        <f>AVERAGE(B9:B11)</f>
        <v>1123.3333333333333</v>
      </c>
      <c r="D12" s="5">
        <f>ABS(B12-C12)</f>
        <v>61.666666666666742</v>
      </c>
      <c r="E12" s="6">
        <f>D12/B12</f>
        <v>5.2039381153305267E-2</v>
      </c>
    </row>
    <row r="13" spans="1:8">
      <c r="A13" s="3" t="s">
        <v>41</v>
      </c>
      <c r="B13">
        <v>1160</v>
      </c>
      <c r="C13" s="5">
        <f>AVERAGE(B10:B12)</f>
        <v>1143.3333333333333</v>
      </c>
      <c r="D13" s="5">
        <f>ABS(B13-C13)</f>
        <v>16.666666666666742</v>
      </c>
      <c r="E13" s="6">
        <f>D13/B13</f>
        <v>1.4367816091954089E-2</v>
      </c>
    </row>
    <row r="14" spans="1:8">
      <c r="A14" s="3" t="s">
        <v>42</v>
      </c>
      <c r="B14">
        <v>1210</v>
      </c>
      <c r="C14" s="5">
        <f>AVERAGE(B11:B13)</f>
        <v>1165</v>
      </c>
      <c r="D14" s="5">
        <f>ABS(B14-C14)</f>
        <v>45</v>
      </c>
      <c r="E14" s="6">
        <f>D14/B14</f>
        <v>3.71900826446281E-2</v>
      </c>
    </row>
    <row r="15" spans="1:8">
      <c r="A15" s="3" t="s">
        <v>43</v>
      </c>
      <c r="B15">
        <v>1240</v>
      </c>
      <c r="C15" s="5">
        <f>AVERAGE(B12:B14)</f>
        <v>1185</v>
      </c>
      <c r="D15" s="5">
        <f>ABS(B15-C15)</f>
        <v>55</v>
      </c>
      <c r="E15" s="6">
        <f>D15/B15</f>
        <v>4.4354838709677422E-2</v>
      </c>
    </row>
    <row r="16" spans="1:8">
      <c r="A16" s="3" t="s">
        <v>44</v>
      </c>
      <c r="B16">
        <v>1285</v>
      </c>
      <c r="C16" s="5">
        <f>AVERAGE(B13:B15)</f>
        <v>1203.3333333333333</v>
      </c>
      <c r="D16" s="5">
        <f>ABS(B16-C16)</f>
        <v>81.666666666666742</v>
      </c>
      <c r="E16" s="6">
        <f>D16/B16</f>
        <v>6.3553826199740662E-2</v>
      </c>
    </row>
    <row r="17" spans="1:5">
      <c r="A17" s="3" t="s">
        <v>33</v>
      </c>
      <c r="B17">
        <v>1260</v>
      </c>
      <c r="C17" s="5">
        <f>AVERAGE(B14:B16)</f>
        <v>1245</v>
      </c>
      <c r="D17" s="5">
        <f>ABS(B17-C17)</f>
        <v>15</v>
      </c>
      <c r="E17" s="6">
        <f>D17/B17</f>
        <v>1.1904761904761904E-2</v>
      </c>
    </row>
    <row r="18" spans="1:5">
      <c r="A18" s="3" t="s">
        <v>35</v>
      </c>
      <c r="B18">
        <v>1305</v>
      </c>
      <c r="C18" s="5">
        <f>AVERAGE(B15:B17)</f>
        <v>1261.6666666666667</v>
      </c>
      <c r="D18" s="5">
        <f>ABS(B18-C18)</f>
        <v>43.333333333333258</v>
      </c>
      <c r="E18" s="6">
        <f>D18/B18</f>
        <v>3.3205619412515909E-2</v>
      </c>
    </row>
    <row r="19" spans="1:5">
      <c r="A19" s="3" t="s">
        <v>34</v>
      </c>
      <c r="B19">
        <v>1330</v>
      </c>
      <c r="C19" s="5">
        <f>AVERAGE(B16:B18)</f>
        <v>1283.3333333333333</v>
      </c>
      <c r="D19" s="5">
        <f>ABS(B19-C19)</f>
        <v>46.666666666666742</v>
      </c>
      <c r="E19" s="6">
        <f>D19/B19</f>
        <v>3.5087719298245668E-2</v>
      </c>
    </row>
    <row r="20" spans="1:5">
      <c r="A20" s="3" t="s">
        <v>45</v>
      </c>
      <c r="B20">
        <v>1365</v>
      </c>
      <c r="C20" s="5">
        <f>AVERAGE(B17:B19)</f>
        <v>1298.3333333333333</v>
      </c>
      <c r="D20" s="5">
        <f>ABS(B20-C20)</f>
        <v>66.666666666666742</v>
      </c>
      <c r="E20" s="6">
        <f>D20/B20</f>
        <v>4.8840048840048896E-2</v>
      </c>
    </row>
    <row r="21" spans="1:5">
      <c r="A21" s="3" t="s">
        <v>46</v>
      </c>
      <c r="B21">
        <v>1380</v>
      </c>
      <c r="C21" s="5">
        <f>AVERAGE(B18:B20)</f>
        <v>1333.3333333333333</v>
      </c>
      <c r="D21" s="5">
        <f>ABS(B21-C21)</f>
        <v>46.666666666666742</v>
      </c>
      <c r="E21" s="6">
        <f>D21/B21</f>
        <v>3.3816425120773E-2</v>
      </c>
    </row>
    <row r="22" spans="1:5">
      <c r="A22" s="3" t="s">
        <v>47</v>
      </c>
      <c r="B22">
        <v>1415</v>
      </c>
      <c r="C22" s="5">
        <f>AVERAGE(B19:B21)</f>
        <v>1358.3333333333333</v>
      </c>
      <c r="D22" s="5">
        <f>ABS(B22-C22)</f>
        <v>56.666666666666742</v>
      </c>
      <c r="E22" s="6">
        <f>D22/B22</f>
        <v>4.0047114252061304E-2</v>
      </c>
    </row>
    <row r="26" spans="1:5" ht="15">
      <c r="A26" s="7"/>
    </row>
  </sheetData>
  <phoneticPr fontId="3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A700A0-B20C-48F6-A2B0-05D29A23B2A4}">
  <dimension ref="A2:K26"/>
  <sheetViews>
    <sheetView workbookViewId="0">
      <selection activeCell="C4" sqref="C4"/>
    </sheetView>
  </sheetViews>
  <sheetFormatPr defaultRowHeight="14.25"/>
  <cols>
    <col min="1" max="1" width="13" style="3" customWidth="1"/>
    <col min="2" max="2" width="15" customWidth="1"/>
    <col min="3" max="3" width="12.625" customWidth="1"/>
    <col min="4" max="4" width="12.25" customWidth="1"/>
    <col min="5" max="5" width="11.75" customWidth="1"/>
    <col min="7" max="7" width="11.625" customWidth="1"/>
    <col min="8" max="8" width="17.875" customWidth="1"/>
  </cols>
  <sheetData>
    <row r="2" spans="1:11" ht="15">
      <c r="C2" s="1" t="s">
        <v>53</v>
      </c>
    </row>
    <row r="4" spans="1:11" ht="15">
      <c r="A4" s="9" t="s">
        <v>25</v>
      </c>
      <c r="B4" s="10" t="s">
        <v>26</v>
      </c>
      <c r="C4" s="10" t="s">
        <v>54</v>
      </c>
      <c r="D4" s="10" t="s">
        <v>52</v>
      </c>
      <c r="E4" s="10" t="s">
        <v>28</v>
      </c>
      <c r="F4" s="10" t="s">
        <v>56</v>
      </c>
      <c r="H4" s="1" t="s">
        <v>55</v>
      </c>
      <c r="I4" s="12">
        <v>0.95</v>
      </c>
      <c r="K4" t="s">
        <v>60</v>
      </c>
    </row>
    <row r="5" spans="1:11" ht="15">
      <c r="A5" s="3" t="s">
        <v>30</v>
      </c>
      <c r="B5">
        <v>980</v>
      </c>
      <c r="H5" s="1" t="s">
        <v>57</v>
      </c>
      <c r="I5" s="5">
        <f>AVERAGE(E6:E22)</f>
        <v>36.954779077993059</v>
      </c>
      <c r="K5" t="s">
        <v>61</v>
      </c>
    </row>
    <row r="6" spans="1:11" ht="15">
      <c r="A6" s="3" t="s">
        <v>31</v>
      </c>
      <c r="B6">
        <v>1025</v>
      </c>
      <c r="C6" s="4">
        <f>B5</f>
        <v>980</v>
      </c>
      <c r="D6" s="5">
        <f>B6-C6</f>
        <v>45</v>
      </c>
      <c r="E6" s="5">
        <f>ABS(D6)</f>
        <v>45</v>
      </c>
      <c r="F6" s="6">
        <f>E6/B6</f>
        <v>4.3902439024390241E-2</v>
      </c>
      <c r="G6" s="6"/>
      <c r="H6" s="1" t="s">
        <v>51</v>
      </c>
      <c r="I6" s="8">
        <f>AVERAGE(F6:F22)</f>
        <v>3.0963967241692304E-2</v>
      </c>
      <c r="K6" t="s">
        <v>62</v>
      </c>
    </row>
    <row r="7" spans="1:11" ht="15">
      <c r="A7" s="3" t="s">
        <v>32</v>
      </c>
      <c r="B7">
        <v>1010</v>
      </c>
      <c r="C7" s="4">
        <f>$I$4*B6+(1-$I$4)*C6</f>
        <v>1022.75</v>
      </c>
      <c r="D7" s="5">
        <f t="shared" ref="D7:D22" si="0">B7-C7</f>
        <v>-12.75</v>
      </c>
      <c r="E7" s="5">
        <f t="shared" ref="E7:E22" si="1">ABS(D7)</f>
        <v>12.75</v>
      </c>
      <c r="F7" s="6">
        <f t="shared" ref="F7:F22" si="2">E7/B7</f>
        <v>1.2623762376237625E-2</v>
      </c>
      <c r="G7" s="6"/>
      <c r="H7" s="1" t="s">
        <v>58</v>
      </c>
      <c r="I7">
        <f>SUMSQ(D6:D22)/(COUNT(D6:D22)-1)</f>
        <v>1663.5456533441061</v>
      </c>
    </row>
    <row r="8" spans="1:11" ht="15">
      <c r="A8" s="3" t="s">
        <v>36</v>
      </c>
      <c r="B8">
        <v>1080</v>
      </c>
      <c r="C8" s="4">
        <f t="shared" ref="C8:C22" si="3">$I$4*B7+(1-$I$4)*C7</f>
        <v>1010.6375</v>
      </c>
      <c r="D8" s="5">
        <f t="shared" si="0"/>
        <v>69.362499999999955</v>
      </c>
      <c r="E8" s="5">
        <f t="shared" si="1"/>
        <v>69.362499999999955</v>
      </c>
      <c r="F8" s="6">
        <f t="shared" si="2"/>
        <v>6.4224537037036997E-2</v>
      </c>
      <c r="G8" s="6"/>
      <c r="H8" s="1" t="s">
        <v>59</v>
      </c>
      <c r="I8" s="11">
        <f>SQRT(I7)</f>
        <v>40.786586684155196</v>
      </c>
    </row>
    <row r="9" spans="1:11">
      <c r="A9" s="3" t="s">
        <v>37</v>
      </c>
      <c r="B9">
        <v>1125</v>
      </c>
      <c r="C9" s="4">
        <f t="shared" si="3"/>
        <v>1076.5318750000001</v>
      </c>
      <c r="D9" s="5">
        <f t="shared" si="0"/>
        <v>48.468124999999873</v>
      </c>
      <c r="E9" s="5">
        <f t="shared" si="1"/>
        <v>48.468124999999873</v>
      </c>
      <c r="F9" s="6">
        <f t="shared" si="2"/>
        <v>4.3082777777777664E-2</v>
      </c>
      <c r="G9" s="6"/>
    </row>
    <row r="10" spans="1:11">
      <c r="A10" s="3" t="s">
        <v>38</v>
      </c>
      <c r="B10">
        <v>1095</v>
      </c>
      <c r="C10" s="4">
        <f t="shared" si="3"/>
        <v>1122.57659375</v>
      </c>
      <c r="D10" s="5">
        <f t="shared" si="0"/>
        <v>-27.576593750000029</v>
      </c>
      <c r="E10" s="5">
        <f t="shared" si="1"/>
        <v>27.576593750000029</v>
      </c>
      <c r="F10" s="6">
        <f t="shared" si="2"/>
        <v>2.5184103881278567E-2</v>
      </c>
      <c r="G10" s="6"/>
    </row>
    <row r="11" spans="1:11">
      <c r="A11" s="3" t="s">
        <v>39</v>
      </c>
      <c r="B11">
        <v>1150</v>
      </c>
      <c r="C11" s="4">
        <f t="shared" si="3"/>
        <v>1096.3788296875</v>
      </c>
      <c r="D11" s="5">
        <f t="shared" si="0"/>
        <v>53.621170312499999</v>
      </c>
      <c r="E11" s="5">
        <f t="shared" si="1"/>
        <v>53.621170312499999</v>
      </c>
      <c r="F11" s="6">
        <f t="shared" si="2"/>
        <v>4.6627104619565214E-2</v>
      </c>
      <c r="G11" s="6"/>
    </row>
    <row r="12" spans="1:11">
      <c r="A12" s="3" t="s">
        <v>40</v>
      </c>
      <c r="B12">
        <v>1185</v>
      </c>
      <c r="C12" s="4">
        <f t="shared" si="3"/>
        <v>1147.318941484375</v>
      </c>
      <c r="D12" s="5">
        <f t="shared" si="0"/>
        <v>37.681058515624954</v>
      </c>
      <c r="E12" s="5">
        <f t="shared" si="1"/>
        <v>37.681058515624954</v>
      </c>
      <c r="F12" s="6">
        <f t="shared" si="2"/>
        <v>3.179836161656114E-2</v>
      </c>
      <c r="G12" s="6"/>
    </row>
    <row r="13" spans="1:11">
      <c r="A13" s="3" t="s">
        <v>41</v>
      </c>
      <c r="B13">
        <v>1160</v>
      </c>
      <c r="C13" s="4">
        <f t="shared" si="3"/>
        <v>1183.1159470742189</v>
      </c>
      <c r="D13" s="5">
        <f t="shared" si="0"/>
        <v>-23.115947074218866</v>
      </c>
      <c r="E13" s="5">
        <f t="shared" si="1"/>
        <v>23.115947074218866</v>
      </c>
      <c r="F13" s="6">
        <f t="shared" si="2"/>
        <v>1.992754058122316E-2</v>
      </c>
      <c r="G13" s="6"/>
    </row>
    <row r="14" spans="1:11">
      <c r="A14" s="3" t="s">
        <v>42</v>
      </c>
      <c r="B14">
        <v>1210</v>
      </c>
      <c r="C14" s="4">
        <f t="shared" si="3"/>
        <v>1161.155797353711</v>
      </c>
      <c r="D14" s="5">
        <f t="shared" si="0"/>
        <v>48.844202646288977</v>
      </c>
      <c r="E14" s="5">
        <f t="shared" si="1"/>
        <v>48.844202646288977</v>
      </c>
      <c r="F14" s="6">
        <f t="shared" si="2"/>
        <v>4.0367109625032212E-2</v>
      </c>
      <c r="G14" s="6"/>
    </row>
    <row r="15" spans="1:11">
      <c r="A15" s="3" t="s">
        <v>43</v>
      </c>
      <c r="B15">
        <v>1240</v>
      </c>
      <c r="C15" s="4">
        <f t="shared" si="3"/>
        <v>1207.5577898676856</v>
      </c>
      <c r="D15" s="5">
        <f t="shared" si="0"/>
        <v>32.442210132314358</v>
      </c>
      <c r="E15" s="5">
        <f t="shared" si="1"/>
        <v>32.442210132314358</v>
      </c>
      <c r="F15" s="6">
        <f t="shared" si="2"/>
        <v>2.616307268735029E-2</v>
      </c>
      <c r="G15" s="6"/>
    </row>
    <row r="16" spans="1:11">
      <c r="A16" s="3" t="s">
        <v>44</v>
      </c>
      <c r="B16">
        <v>1285</v>
      </c>
      <c r="C16" s="4">
        <f t="shared" si="3"/>
        <v>1238.3778894933844</v>
      </c>
      <c r="D16" s="5">
        <f t="shared" si="0"/>
        <v>46.622110506615627</v>
      </c>
      <c r="E16" s="5">
        <f t="shared" si="1"/>
        <v>46.622110506615627</v>
      </c>
      <c r="F16" s="6">
        <f t="shared" si="2"/>
        <v>3.6281798059623054E-2</v>
      </c>
      <c r="G16" s="6"/>
    </row>
    <row r="17" spans="1:7">
      <c r="A17" s="3" t="s">
        <v>33</v>
      </c>
      <c r="B17">
        <v>1260</v>
      </c>
      <c r="C17" s="4">
        <f t="shared" si="3"/>
        <v>1282.6688944746693</v>
      </c>
      <c r="D17" s="5">
        <f t="shared" si="0"/>
        <v>-22.668894474669287</v>
      </c>
      <c r="E17" s="5">
        <f t="shared" si="1"/>
        <v>22.668894474669287</v>
      </c>
      <c r="F17" s="6">
        <f t="shared" si="2"/>
        <v>1.7991186091007371E-2</v>
      </c>
      <c r="G17" s="6"/>
    </row>
    <row r="18" spans="1:7">
      <c r="A18" s="3" t="s">
        <v>35</v>
      </c>
      <c r="B18">
        <v>1305</v>
      </c>
      <c r="C18" s="4">
        <f t="shared" si="3"/>
        <v>1261.1334447237334</v>
      </c>
      <c r="D18" s="5">
        <f t="shared" si="0"/>
        <v>43.866555276266581</v>
      </c>
      <c r="E18" s="5">
        <f t="shared" si="1"/>
        <v>43.866555276266581</v>
      </c>
      <c r="F18" s="6">
        <f t="shared" si="2"/>
        <v>3.3614218602503125E-2</v>
      </c>
      <c r="G18" s="6"/>
    </row>
    <row r="19" spans="1:7">
      <c r="A19" s="3" t="s">
        <v>34</v>
      </c>
      <c r="B19">
        <v>1330</v>
      </c>
      <c r="C19" s="4">
        <f t="shared" si="3"/>
        <v>1302.8066722361868</v>
      </c>
      <c r="D19" s="5">
        <f t="shared" si="0"/>
        <v>27.193327763813159</v>
      </c>
      <c r="E19" s="5">
        <f t="shared" si="1"/>
        <v>27.193327763813159</v>
      </c>
      <c r="F19" s="6">
        <f t="shared" si="2"/>
        <v>2.0446111100611397E-2</v>
      </c>
      <c r="G19" s="6"/>
    </row>
    <row r="20" spans="1:7">
      <c r="A20" s="3" t="s">
        <v>45</v>
      </c>
      <c r="B20">
        <v>1365</v>
      </c>
      <c r="C20" s="4">
        <f t="shared" si="3"/>
        <v>1328.6403336118094</v>
      </c>
      <c r="D20" s="5">
        <f t="shared" si="0"/>
        <v>36.35966638819059</v>
      </c>
      <c r="E20" s="5">
        <f t="shared" si="1"/>
        <v>36.35966638819059</v>
      </c>
      <c r="F20" s="6">
        <f t="shared" si="2"/>
        <v>2.663711823310666E-2</v>
      </c>
      <c r="G20" s="6"/>
    </row>
    <row r="21" spans="1:7">
      <c r="A21" s="3" t="s">
        <v>46</v>
      </c>
      <c r="B21">
        <v>1380</v>
      </c>
      <c r="C21" s="4">
        <f t="shared" si="3"/>
        <v>1363.1820166805906</v>
      </c>
      <c r="D21" s="5">
        <f t="shared" si="0"/>
        <v>16.81798331940945</v>
      </c>
      <c r="E21" s="5">
        <f t="shared" si="1"/>
        <v>16.81798331940945</v>
      </c>
      <c r="F21" s="6">
        <f t="shared" si="2"/>
        <v>1.2186944434354674E-2</v>
      </c>
      <c r="G21" s="6"/>
    </row>
    <row r="22" spans="1:7">
      <c r="A22" s="3" t="s">
        <v>47</v>
      </c>
      <c r="B22">
        <v>1415</v>
      </c>
      <c r="C22" s="4">
        <f t="shared" si="3"/>
        <v>1379.1591008340297</v>
      </c>
      <c r="D22" s="5">
        <f t="shared" si="0"/>
        <v>35.840899165970313</v>
      </c>
      <c r="E22" s="5">
        <f t="shared" si="1"/>
        <v>35.840899165970313</v>
      </c>
      <c r="F22" s="6">
        <f t="shared" si="2"/>
        <v>2.5329257361109761E-2</v>
      </c>
      <c r="G22" s="6"/>
    </row>
    <row r="26" spans="1:7" ht="15">
      <c r="A26" s="7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C82B69-3E7A-4E78-B678-73977ED83AC2}">
  <dimension ref="A1:G15"/>
  <sheetViews>
    <sheetView tabSelected="1" workbookViewId="0">
      <selection activeCell="G5" sqref="G5"/>
    </sheetView>
  </sheetViews>
  <sheetFormatPr defaultRowHeight="14.25"/>
  <cols>
    <col min="1" max="1" width="19.625" customWidth="1"/>
    <col min="2" max="2" width="16.125" customWidth="1"/>
    <col min="3" max="3" width="15.875" customWidth="1"/>
    <col min="4" max="4" width="13.875" customWidth="1"/>
    <col min="5" max="5" width="13.375" customWidth="1"/>
    <col min="6" max="6" width="15.625" customWidth="1"/>
  </cols>
  <sheetData>
    <row r="1" spans="1:7" ht="15">
      <c r="C1" s="1" t="s">
        <v>63</v>
      </c>
    </row>
    <row r="3" spans="1:7">
      <c r="A3" s="10" t="s">
        <v>64</v>
      </c>
      <c r="B3" s="10" t="s">
        <v>8</v>
      </c>
      <c r="C3" s="10" t="s">
        <v>9</v>
      </c>
      <c r="D3" s="10" t="s">
        <v>18</v>
      </c>
      <c r="E3" s="10" t="s">
        <v>65</v>
      </c>
      <c r="F3" s="10" t="s">
        <v>66</v>
      </c>
    </row>
    <row r="4" spans="1:7">
      <c r="A4" s="13" t="s">
        <v>67</v>
      </c>
      <c r="B4">
        <v>7</v>
      </c>
      <c r="C4">
        <v>0.84</v>
      </c>
      <c r="D4" s="5">
        <f>C4*Inputs!$B$15*SQRT('Scenario Analysis'!B4/30)</f>
        <v>53.60070430880549</v>
      </c>
      <c r="E4" s="5">
        <f>(Inputs!$B$16*'Scenario Analysis'!B4)+'Scenario Analysis'!D4</f>
        <v>333.60070430880546</v>
      </c>
      <c r="F4" s="4">
        <f>Inputs!$B$23+(('Scenario Analysis'!D4-Inputs!$B$20)*Inputs!$B$18)</f>
        <v>852.52674584655631</v>
      </c>
      <c r="G4" t="s">
        <v>79</v>
      </c>
    </row>
    <row r="5" spans="1:7">
      <c r="A5" s="13" t="s">
        <v>68</v>
      </c>
      <c r="B5">
        <v>7</v>
      </c>
      <c r="C5">
        <v>1.28</v>
      </c>
      <c r="D5" s="5">
        <f>C5*Inputs!$B$15*SQRT('Scenario Analysis'!B5/30)</f>
        <v>81.677263708655985</v>
      </c>
      <c r="E5" s="5">
        <f>(Inputs!$B$16*'Scenario Analysis'!B5)+'Scenario Analysis'!D5</f>
        <v>361.67726370865597</v>
      </c>
      <c r="F5" s="4">
        <f>Inputs!$B$23+(('Scenario Analysis'!D5-Inputs!$B$20)*Inputs!$B$18)</f>
        <v>936.75642404610778</v>
      </c>
    </row>
    <row r="6" spans="1:7">
      <c r="A6" s="13" t="s">
        <v>69</v>
      </c>
      <c r="B6">
        <v>14</v>
      </c>
      <c r="C6">
        <v>1.28</v>
      </c>
      <c r="D6" s="5">
        <f>C6*Inputs!$B$15*SQRT('Scenario Analysis'!B6/30)</f>
        <v>115.5090940743051</v>
      </c>
      <c r="E6" s="5">
        <f>(Inputs!$B$16*'Scenario Analysis'!B6)+'Scenario Analysis'!D6</f>
        <v>675.50909407430504</v>
      </c>
      <c r="F6" s="4">
        <f>Inputs!$B$23+(('Scenario Analysis'!D6-Inputs!$B$20)*Inputs!$B$18)</f>
        <v>1038.2519151430552</v>
      </c>
    </row>
    <row r="7" spans="1:7">
      <c r="A7" s="13" t="s">
        <v>70</v>
      </c>
      <c r="B7">
        <v>14</v>
      </c>
      <c r="C7">
        <v>1.65</v>
      </c>
      <c r="D7" s="5">
        <f>C7*Inputs!$B$15*SQRT('Scenario Analysis'!B7/30)</f>
        <v>148.8984415801589</v>
      </c>
      <c r="E7" s="5">
        <f>(Inputs!$B$16*'Scenario Analysis'!B7)+'Scenario Analysis'!D7</f>
        <v>708.89844158015887</v>
      </c>
      <c r="F7" s="4">
        <f>Inputs!$B$23+(('Scenario Analysis'!D7-Inputs!$B$20)*Inputs!$B$18)</f>
        <v>1138.4199576606165</v>
      </c>
    </row>
    <row r="8" spans="1:7">
      <c r="A8" s="13" t="s">
        <v>71</v>
      </c>
      <c r="B8">
        <v>21</v>
      </c>
      <c r="C8">
        <v>1.65</v>
      </c>
      <c r="D8" s="5">
        <f>C8*Inputs!$B$15*SQRT('Scenario Analysis'!B8/30)</f>
        <v>182.36260268349977</v>
      </c>
      <c r="E8" s="5">
        <f>(Inputs!$B$16*'Scenario Analysis'!B8)+'Scenario Analysis'!D8</f>
        <v>1022.3626026834997</v>
      </c>
      <c r="F8" s="4">
        <f>Inputs!$B$23+(('Scenario Analysis'!D8-Inputs!$B$20)*Inputs!$B$18)</f>
        <v>1238.8124409706393</v>
      </c>
    </row>
    <row r="9" spans="1:7">
      <c r="A9" s="13" t="s">
        <v>72</v>
      </c>
      <c r="B9">
        <v>21</v>
      </c>
      <c r="C9">
        <v>2.0499999999999998</v>
      </c>
      <c r="D9" s="5">
        <f>C9*Inputs!$B$15*SQRT('Scenario Analysis'!B9/30)</f>
        <v>226.5717184855603</v>
      </c>
      <c r="E9" s="5">
        <f>(Inputs!$B$16*'Scenario Analysis'!B9)+'Scenario Analysis'!D9</f>
        <v>1066.5717184855603</v>
      </c>
      <c r="F9" s="4">
        <f>Inputs!$B$23+(('Scenario Analysis'!D9-Inputs!$B$20)*Inputs!$B$18)</f>
        <v>1371.4397883768206</v>
      </c>
    </row>
    <row r="10" spans="1:7">
      <c r="A10" s="13" t="s">
        <v>73</v>
      </c>
      <c r="B10">
        <v>10</v>
      </c>
      <c r="C10">
        <v>1.65</v>
      </c>
      <c r="D10" s="5">
        <f>C10*Inputs!$B$15*SQRT('Scenario Analysis'!B10/30)</f>
        <v>125.84215142391676</v>
      </c>
      <c r="E10" s="5">
        <f>(Inputs!$B$16*'Scenario Analysis'!B10)+'Scenario Analysis'!D10</f>
        <v>525.84215142391679</v>
      </c>
      <c r="F10" s="4">
        <f>Inputs!$B$23+(('Scenario Analysis'!D10-Inputs!$B$20)*Inputs!$B$18)</f>
        <v>1069.2510871918901</v>
      </c>
    </row>
    <row r="11" spans="1:7">
      <c r="A11" s="13" t="s">
        <v>74</v>
      </c>
      <c r="B11">
        <v>28</v>
      </c>
      <c r="C11">
        <v>1.65</v>
      </c>
      <c r="D11" s="5">
        <f>C11*Inputs!$B$15*SQRT('Scenario Analysis'!B11/30)</f>
        <v>210.57419549887871</v>
      </c>
      <c r="E11" s="5">
        <f>(Inputs!$B$16*'Scenario Analysis'!B11)+'Scenario Analysis'!D11</f>
        <v>1330.5741954988787</v>
      </c>
      <c r="F11" s="4">
        <f>Inputs!$B$23+(('Scenario Analysis'!D11-Inputs!$B$20)*Inputs!$B$18)</f>
        <v>1323.4472194167761</v>
      </c>
    </row>
    <row r="12" spans="1:7">
      <c r="A12" s="13" t="s">
        <v>75</v>
      </c>
      <c r="B12">
        <v>14</v>
      </c>
      <c r="C12">
        <v>2.0499999999999998</v>
      </c>
      <c r="D12" s="5">
        <f>C12*Inputs!$B$15*SQRT('Scenario Analysis'!B12/30)</f>
        <v>184.99503347837921</v>
      </c>
      <c r="E12" s="5">
        <f>(Inputs!$B$16*'Scenario Analysis'!B12)+'Scenario Analysis'!D12</f>
        <v>744.99503347837924</v>
      </c>
      <c r="F12" s="4">
        <f>Inputs!$B$23+(('Scenario Analysis'!D12-Inputs!$B$20)*Inputs!$B$18)</f>
        <v>1246.7097333552774</v>
      </c>
    </row>
    <row r="13" spans="1:7">
      <c r="A13" s="13" t="s">
        <v>76</v>
      </c>
      <c r="B13">
        <v>14</v>
      </c>
      <c r="C13">
        <v>0.84</v>
      </c>
      <c r="D13" s="5">
        <f>C13*Inputs!$B$15*SQRT('Scenario Analysis'!B13/30)</f>
        <v>75.802842986262704</v>
      </c>
      <c r="E13" s="5">
        <f>(Inputs!$B$16*'Scenario Analysis'!B13)+'Scenario Analysis'!D13</f>
        <v>635.8028429862627</v>
      </c>
      <c r="F13" s="4">
        <f>Inputs!$B$23+(('Scenario Analysis'!D13-Inputs!$B$20)*Inputs!$B$18)</f>
        <v>919.13316187892792</v>
      </c>
    </row>
    <row r="14" spans="1:7">
      <c r="A14" s="13" t="s">
        <v>77</v>
      </c>
      <c r="B14">
        <v>7</v>
      </c>
      <c r="C14">
        <v>2.0499999999999998</v>
      </c>
      <c r="D14" s="5">
        <f>C14*Inputs!$B$15*SQRT('Scenario Analysis'!B14/30)</f>
        <v>130.81124265839435</v>
      </c>
      <c r="E14" s="5">
        <f>(Inputs!$B$16*'Scenario Analysis'!B14)+'Scenario Analysis'!D14</f>
        <v>410.81124265839435</v>
      </c>
      <c r="F14" s="4">
        <f>Inputs!$B$23+(('Scenario Analysis'!D14-Inputs!$B$20)*Inputs!$B$18)</f>
        <v>1084.1583608953229</v>
      </c>
    </row>
    <row r="15" spans="1:7">
      <c r="A15" s="13" t="s">
        <v>78</v>
      </c>
      <c r="B15">
        <v>28</v>
      </c>
      <c r="C15">
        <v>0.84</v>
      </c>
      <c r="D15" s="5">
        <f>C15*Inputs!$B$15*SQRT('Scenario Analysis'!B15/30)</f>
        <v>107.20140861761098</v>
      </c>
      <c r="E15" s="5">
        <f>(Inputs!$B$16*'Scenario Analysis'!B15)+'Scenario Analysis'!D15</f>
        <v>1227.2014086176109</v>
      </c>
      <c r="F15" s="4">
        <f>Inputs!$B$23+(('Scenario Analysis'!D15-Inputs!$B$20)*Inputs!$B$18)</f>
        <v>1013.3288587729728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Inputs</vt:lpstr>
      <vt:lpstr>Demand_MA</vt:lpstr>
      <vt:lpstr>Demand_SES</vt:lpstr>
      <vt:lpstr>Scenario Analysis</vt:lpstr>
    </vt:vector>
  </TitlesOfParts>
  <Company>University of Alberta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Mannat Kaur</dc:creator>
  <cp:lastModifiedBy>Mannat Kaur</cp:lastModifiedBy>
  <dcterms:created xsi:type="dcterms:W3CDTF">2026-04-08T20:29:56Z</dcterms:created>
  <dcterms:modified xsi:type="dcterms:W3CDTF">2026-04-08T21:42:30Z</dcterms:modified>
</cp:coreProperties>
</file>